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mparacion" sheetId="2" state="visible" r:id="rId2"/>
    <sheet name="Graficos" sheetId="3" state="visible" r:id="rId3"/>
    <sheet name="Complejidad" sheetId="4" state="visible" r:id="rId4"/>
    <sheet name="Mantenibilidad" sheetId="5" state="visible" r:id="rId5"/>
    <sheet name="Bugs_Smells" sheetId="6" state="visible" r:id="rId6"/>
    <sheet name="Errores" sheetId="7" state="visible" r:id="rId7"/>
    <sheet name="Concurrencia" sheetId="8" state="visible" r:id="rId8"/>
    <sheet name="Tokens" sheetId="9" state="visible" r:id="rId9"/>
    <sheet name="CPU-Memoria" sheetId="10" state="visible" r:id="rId10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0\%"/>
    <numFmt numFmtId="165" formatCode="0.00&quot;%&quot;"/>
  </numFmts>
  <fonts count="11">
    <font>
      <name val="Calibri"/>
      <family val="2"/>
      <color theme="1"/>
      <sz val="11"/>
      <scheme val="minor"/>
    </font>
    <font>
      <name val="Calibri"/>
      <family val="2"/>
      <color rgb="00000000"/>
      <sz val="11"/>
      <scheme val="minor"/>
    </font>
    <font>
      <name val="Calibri"/>
      <family val="2"/>
      <b val="1"/>
      <color rgb="00008000"/>
      <sz val="11"/>
      <scheme val="minor"/>
    </font>
    <font>
      <b val="1"/>
    </font>
    <font>
      <name val="Calibri"/>
      <b val="1"/>
      <color rgb="00FFFFFF"/>
      <sz val="14"/>
    </font>
    <font>
      <b val="1"/>
      <color rgb="00000000"/>
    </font>
    <font>
      <name val="Calibri"/>
      <color rgb="00000000"/>
      <sz val="11"/>
    </font>
    <font>
      <b val="1"/>
      <color rgb="002866A8"/>
    </font>
    <font>
      <name val="Calibri"/>
      <color rgb="005D7081"/>
      <sz val="10"/>
    </font>
    <font>
      <name val="Calibri"/>
      <b val="1"/>
      <color rgb="00FFFFFF"/>
      <sz val="11"/>
    </font>
    <font>
      <name val="Calibri"/>
      <color rgb="005D7081"/>
      <sz val="11"/>
    </font>
  </fonts>
  <fills count="13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76933C"/>
      </patternFill>
    </fill>
    <fill>
      <patternFill patternType="solid">
        <fgColor rgb="00C4D79B"/>
      </patternFill>
    </fill>
    <fill>
      <patternFill patternType="solid">
        <fgColor rgb="0095B3D7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7EEF4"/>
      </patternFill>
    </fill>
    <fill>
      <patternFill patternType="solid">
        <fgColor rgb="0017324D"/>
      </patternFill>
    </fill>
    <fill>
      <patternFill patternType="solid">
        <fgColor rgb="00EAF3F8"/>
      </patternFill>
    </fill>
    <fill>
      <patternFill patternType="solid">
        <fgColor rgb="002866A8"/>
      </patternFill>
    </fill>
    <fill>
      <patternFill patternType="solid">
        <fgColor rgb="00F4F8FB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6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1" fillId="5" borderId="0" pivotButton="0" quotePrefix="0" xfId="0"/>
    <xf numFmtId="0" fontId="2" fillId="0" borderId="0" pivotButton="0" quotePrefix="0" xfId="0"/>
    <xf numFmtId="0" fontId="2" fillId="5" borderId="0" pivotButton="0" quotePrefix="0" xfId="0"/>
    <xf numFmtId="164" fontId="1" fillId="0" borderId="0" pivotButton="0" quotePrefix="0" xfId="0"/>
    <xf numFmtId="164" fontId="2" fillId="0" borderId="0" pivotButton="0" quotePrefix="0" xfId="0"/>
    <xf numFmtId="0" fontId="4" fillId="7" borderId="0" applyAlignment="1" pivotButton="0" quotePrefix="0" xfId="0">
      <alignment vertical="center"/>
    </xf>
    <xf numFmtId="0" fontId="3" fillId="0" borderId="0" pivotButton="0" quotePrefix="0" xfId="0"/>
    <xf numFmtId="0" fontId="5" fillId="2" borderId="0" applyAlignment="1" pivotButton="0" quotePrefix="0" xfId="0">
      <alignment horizontal="center"/>
    </xf>
    <xf numFmtId="0" fontId="5" fillId="8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164" fontId="6" fillId="0" borderId="1" applyAlignment="1" pivotButton="0" quotePrefix="0" xfId="0">
      <alignment vertical="center" wrapText="1"/>
    </xf>
    <xf numFmtId="0" fontId="4" fillId="9" borderId="0" applyAlignment="1" pivotButton="0" quotePrefix="0" xfId="0">
      <alignment vertical="center"/>
    </xf>
    <xf numFmtId="0" fontId="7" fillId="0" borderId="0" pivotButton="0" quotePrefix="0" xfId="0"/>
    <xf numFmtId="0" fontId="8" fillId="10" borderId="0" pivotButton="0" quotePrefix="0" xfId="0"/>
    <xf numFmtId="0" fontId="9" fillId="11" borderId="0" applyAlignment="1" pivotButton="0" quotePrefix="0" xfId="0">
      <alignment horizontal="left"/>
    </xf>
    <xf numFmtId="0" fontId="9" fillId="11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10" fillId="1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008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Complejidad ciclomática (CCN)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'Graficos'!B4</f>
            </strRef>
          </tx>
          <spPr>
            <a:ln>
              <a:prstDash val="solid"/>
            </a:ln>
          </spPr>
          <cat>
            <numRef>
              <f>'Graficos'!$A$5</f>
            </numRef>
          </cat>
          <val>
            <numRef>
              <f>'Graficos'!$B$5</f>
            </numRef>
          </val>
        </ser>
        <ser>
          <idx val="1"/>
          <order val="1"/>
          <tx>
            <strRef>
              <f>'Graficos'!C4</f>
            </strRef>
          </tx>
          <spPr>
            <a:ln>
              <a:prstDash val="solid"/>
            </a:ln>
          </spPr>
          <cat>
            <numRef>
              <f>'Graficos'!$A$5</f>
            </numRef>
          </cat>
          <val>
            <numRef>
              <f>'Graficos'!$C$5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CCN promedio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Índice de mantenibilidad (MI)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'Graficos'!B9</f>
            </strRef>
          </tx>
          <spPr>
            <a:ln>
              <a:prstDash val="solid"/>
            </a:ln>
          </spPr>
          <cat>
            <numRef>
              <f>'Graficos'!$A$10</f>
            </numRef>
          </cat>
          <val>
            <numRef>
              <f>'Graficos'!$B$10</f>
            </numRef>
          </val>
        </ser>
        <ser>
          <idx val="1"/>
          <order val="1"/>
          <tx>
            <strRef>
              <f>'Graficos'!C9</f>
            </strRef>
          </tx>
          <spPr>
            <a:ln>
              <a:prstDash val="solid"/>
            </a:ln>
          </spPr>
          <cat>
            <numRef>
              <f>'Graficos'!$A$10</f>
            </numRef>
          </cat>
          <val>
            <numRef>
              <f>'Graficos'!$C$10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MI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CPU y memoria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'Graficos'!B14</f>
            </strRef>
          </tx>
          <spPr>
            <a:ln>
              <a:prstDash val="solid"/>
            </a:ln>
          </spPr>
          <cat>
            <numRef>
              <f>'Graficos'!$A$15:$A$16</f>
            </numRef>
          </cat>
          <val>
            <numRef>
              <f>'Graficos'!$B$15:$B$16</f>
            </numRef>
          </val>
        </ser>
        <ser>
          <idx val="1"/>
          <order val="1"/>
          <tx>
            <strRef>
              <f>'Graficos'!C14</f>
            </strRef>
          </tx>
          <spPr>
            <a:ln>
              <a:prstDash val="solid"/>
            </a:ln>
          </spPr>
          <cat>
            <numRef>
              <f>'Graficos'!$A$15:$A$16</f>
            </numRef>
          </cat>
          <val>
            <numRef>
              <f>'Graficos'!$C$15:$C$16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Porcentaje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Issues por cada 1000 líneas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'Graficos'!B21</f>
            </strRef>
          </tx>
          <spPr>
            <a:ln>
              <a:prstDash val="solid"/>
            </a:ln>
          </spPr>
          <cat>
            <numRef>
              <f>'Graficos'!$A$22</f>
            </numRef>
          </cat>
          <val>
            <numRef>
              <f>'Graficos'!$B$22</f>
            </numRef>
          </val>
        </ser>
        <ser>
          <idx val="1"/>
          <order val="1"/>
          <tx>
            <strRef>
              <f>'Graficos'!C21</f>
            </strRef>
          </tx>
          <spPr>
            <a:ln>
              <a:prstDash val="solid"/>
            </a:ln>
          </spPr>
          <cat>
            <numRef>
              <f>'Graficos'!$A$22</f>
            </numRef>
          </cat>
          <val>
            <numRef>
              <f>'Graficos'!$C$22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Issues/KLOC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940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3</row>
      <rowOff>0</rowOff>
    </from>
    <ext cx="5940000" cy="2664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16</row>
      <rowOff>0</rowOff>
    </from>
    <ext cx="5940000" cy="2664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13</col>
      <colOff>0</colOff>
      <row>16</row>
      <rowOff>0</rowOff>
    </from>
    <ext cx="5940000" cy="2664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cols>
    <col width="18" customWidth="1" min="1" max="1"/>
    <col width="33" customWidth="1" min="2" max="2"/>
    <col width="14" customWidth="1" min="3" max="3"/>
    <col width="14" customWidth="1" min="4" max="4"/>
    <col width="17" customWidth="1" min="5" max="5"/>
    <col width="17" customWidth="1" min="6" max="6"/>
    <col width="18" customWidth="1" min="7" max="7"/>
    <col width="11" customWidth="1" min="8" max="8"/>
    <col width="15" customWidth="1" min="9" max="9"/>
    <col width="14" customWidth="1" min="10" max="10"/>
    <col width="12" customWidth="1" min="11" max="11"/>
    <col width="14" customWidth="1" min="12" max="12"/>
    <col width="14" customWidth="1" min="13" max="13"/>
    <col width="12" customWidth="1" min="14" max="14"/>
    <col width="28" customWidth="1" min="15" max="15"/>
    <col width="24" customWidth="1" min="16" max="16"/>
    <col width="41" customWidth="1" min="17" max="17"/>
    <col width="27" customWidth="1" min="18" max="18"/>
    <col width="45" customWidth="1" min="19" max="19"/>
    <col width="17" customWidth="1" min="20" max="20"/>
    <col width="22" customWidth="1" min="21" max="21"/>
    <col width="21" customWidth="1" min="22" max="22"/>
    <col width="25" customWidth="1" min="23" max="23"/>
  </cols>
  <sheetData>
    <row r="1">
      <c r="A1" s="1" t="inlineStr">
        <is>
          <t>Código</t>
        </is>
      </c>
      <c r="B1" s="1" t="inlineStr">
        <is>
          <t>Nombre del proyecto</t>
        </is>
      </c>
      <c r="C1" s="1" t="inlineStr">
        <is>
          <t>ID proyecto</t>
        </is>
      </c>
      <c r="D1" s="1" t="inlineStr">
        <is>
          <t>Dispositivo</t>
        </is>
      </c>
      <c r="E1" s="1" t="inlineStr">
        <is>
          <t>Implementación</t>
        </is>
      </c>
      <c r="F1" s="1" t="inlineStr">
        <is>
          <t>Herramienta IA</t>
        </is>
      </c>
      <c r="G1" s="1" t="inlineStr">
        <is>
          <t>Modelo IA</t>
        </is>
      </c>
      <c r="H1" s="1" t="inlineStr">
        <is>
          <t>Lenguaje</t>
        </is>
      </c>
      <c r="I1" s="1" t="inlineStr">
        <is>
          <t>CCN promedio</t>
        </is>
      </c>
      <c r="J1" s="1" t="inlineStr">
        <is>
          <t>Nivel de CC</t>
        </is>
      </c>
      <c r="K1" s="1" t="inlineStr">
        <is>
          <t>MI</t>
        </is>
      </c>
      <c r="L1" s="1" t="inlineStr">
        <is>
          <t>Nivel de MI</t>
        </is>
      </c>
      <c r="M1" s="1" t="inlineStr">
        <is>
          <t>Issues/KLOC</t>
        </is>
      </c>
      <c r="N1" s="1" t="inlineStr">
        <is>
          <t>ISI</t>
        </is>
      </c>
      <c r="O1" s="1" t="inlineStr">
        <is>
          <t>Interpretación de Issue</t>
        </is>
      </c>
      <c r="P1" s="1" t="inlineStr">
        <is>
          <t>Promedio concurrencia</t>
        </is>
      </c>
      <c r="Q1" s="1" t="inlineStr">
        <is>
          <t>Interpretación concurrencia</t>
        </is>
      </c>
      <c r="R1" s="1" t="inlineStr">
        <is>
          <t>Eficiencia de generación</t>
        </is>
      </c>
      <c r="S1" s="1" t="inlineStr">
        <is>
          <t>Interpretación tokens</t>
        </is>
      </c>
      <c r="T1" s="1" t="inlineStr">
        <is>
          <t>% CPU promedio</t>
        </is>
      </c>
      <c r="U1" s="1" t="inlineStr">
        <is>
          <t>Interpretación CPU</t>
        </is>
      </c>
      <c r="V1" s="1" t="inlineStr">
        <is>
          <t>% Memoria promedio</t>
        </is>
      </c>
      <c r="W1" s="1" t="inlineStr">
        <is>
          <t>Interpretación memoria</t>
        </is>
      </c>
    </row>
    <row r="2">
      <c r="A2" s="2" t="inlineStr">
        <is>
          <t>L1-1C2026-AND-M</t>
        </is>
      </c>
      <c r="B2" s="3" t="inlineStr">
        <is>
          <t>Smart Mirror</t>
        </is>
      </c>
      <c r="C2" s="3" t="inlineStr">
        <is>
          <t>L1-1C2026</t>
        </is>
      </c>
      <c r="D2" s="3" t="inlineStr">
        <is>
          <t>Android</t>
        </is>
      </c>
      <c r="E2" s="3" t="inlineStr">
        <is>
          <t>Manual</t>
        </is>
      </c>
      <c r="F2" s="3" t="inlineStr">
        <is>
          <t>No aplica</t>
        </is>
      </c>
      <c r="G2" s="3" t="inlineStr">
        <is>
          <t>No aplica</t>
        </is>
      </c>
      <c r="H2" s="3" t="inlineStr">
        <is>
          <t>Java</t>
        </is>
      </c>
      <c r="I2" s="4" t="n">
        <v>1.88</v>
      </c>
      <c r="J2" s="5" t="inlineStr">
        <is>
          <t>Bajo</t>
        </is>
      </c>
      <c r="K2" s="4" t="n">
        <v>53.1</v>
      </c>
      <c r="L2" s="5" t="inlineStr">
        <is>
          <t>Buena</t>
        </is>
      </c>
      <c r="M2" s="4" t="n">
        <v>65.79000000000001</v>
      </c>
      <c r="N2" s="4" t="n">
        <v>2.03</v>
      </c>
      <c r="O2" s="5" t="inlineStr">
        <is>
          <t>Predominan issues medios</t>
        </is>
      </c>
      <c r="P2" s="6" t="inlineStr">
        <is>
          <t>Sin datos</t>
        </is>
      </c>
      <c r="Q2" s="7" t="inlineStr">
        <is>
          <t>Sin datos</t>
        </is>
      </c>
      <c r="R2" s="6" t="inlineStr">
        <is>
          <t>Sin datos</t>
        </is>
      </c>
      <c r="S2" s="7" t="inlineStr">
        <is>
          <t>Sin datos</t>
        </is>
      </c>
      <c r="T2" s="8" t="n">
        <v>0.125</v>
      </c>
      <c r="U2" s="5" t="inlineStr">
        <is>
          <t>Consumo bajo de CPU</t>
        </is>
      </c>
      <c r="V2" s="8" t="n">
        <v>1.373203285420945</v>
      </c>
      <c r="W2" s="5" t="inlineStr">
        <is>
          <t>Consumo bajo de CPU</t>
        </is>
      </c>
    </row>
    <row r="3">
      <c r="A3" s="2" t="inlineStr">
        <is>
          <t>L1-1C2026-AND-V</t>
        </is>
      </c>
      <c r="B3" s="3" t="inlineStr">
        <is>
          <t>Smart Mirror</t>
        </is>
      </c>
      <c r="C3" s="3" t="inlineStr">
        <is>
          <t>L1-1C2026</t>
        </is>
      </c>
      <c r="D3" s="3" t="inlineStr">
        <is>
          <t>Android</t>
        </is>
      </c>
      <c r="E3" s="3" t="inlineStr">
        <is>
          <t>Vibecoding</t>
        </is>
      </c>
      <c r="F3" s="3" t="inlineStr">
        <is>
          <t>ClaudeCode</t>
        </is>
      </c>
      <c r="G3" s="3" t="inlineStr">
        <is>
          <t>Claude Sonnet 5</t>
        </is>
      </c>
      <c r="H3" s="3" t="inlineStr">
        <is>
          <t>Java</t>
        </is>
      </c>
      <c r="I3" s="4" t="n">
        <v>1.82</v>
      </c>
      <c r="J3" s="5" t="inlineStr">
        <is>
          <t>Bajo</t>
        </is>
      </c>
      <c r="K3" s="4" t="n">
        <v>50.98</v>
      </c>
      <c r="L3" s="5" t="inlineStr">
        <is>
          <t>Buena</t>
        </is>
      </c>
      <c r="M3" s="4" t="n">
        <v>15.76</v>
      </c>
      <c r="N3" s="4" t="n">
        <v>2.67</v>
      </c>
      <c r="O3" s="5" t="inlineStr">
        <is>
          <t>Presencia de issues altos</t>
        </is>
      </c>
      <c r="P3" s="4" t="n">
        <v>2.75</v>
      </c>
      <c r="Q3" s="5" t="inlineStr">
        <is>
          <t>Hay aspectos que requieren observación</t>
        </is>
      </c>
      <c r="R3" s="4" t="n">
        <v>109.15</v>
      </c>
      <c r="S3" s="5" t="inlineStr">
        <is>
          <t>Alto NLOC/token, ajustada por refinamientos.</t>
        </is>
      </c>
      <c r="T3" s="8" t="n">
        <v>0.125</v>
      </c>
      <c r="U3" s="5" t="inlineStr">
        <is>
          <t>Consumo bajo de CPU</t>
        </is>
      </c>
      <c r="V3" s="8" t="n">
        <v>1.456622176591376</v>
      </c>
      <c r="W3" s="5" t="inlineStr">
        <is>
          <t>Consumo bajo de CPU</t>
        </is>
      </c>
    </row>
    <row r="4">
      <c r="A4" s="2" t="inlineStr">
        <is>
          <t>L2-1C2026-AND-M</t>
        </is>
      </c>
      <c r="B4" s="3" t="inlineStr">
        <is>
          <t>Sistema de Atención al Volante</t>
        </is>
      </c>
      <c r="C4" s="3" t="inlineStr">
        <is>
          <t>L2-1C2026</t>
        </is>
      </c>
      <c r="D4" s="3" t="inlineStr">
        <is>
          <t>Android</t>
        </is>
      </c>
      <c r="E4" s="3" t="inlineStr">
        <is>
          <t>Manual</t>
        </is>
      </c>
      <c r="F4" s="3" t="inlineStr">
        <is>
          <t>No aplica</t>
        </is>
      </c>
      <c r="G4" s="3" t="inlineStr">
        <is>
          <t>No aplica</t>
        </is>
      </c>
      <c r="H4" s="3" t="inlineStr">
        <is>
          <t>Java</t>
        </is>
      </c>
      <c r="I4" s="4" t="n">
        <v>3.07</v>
      </c>
      <c r="J4" s="5" t="inlineStr">
        <is>
          <t>Bajo</t>
        </is>
      </c>
      <c r="K4" s="4" t="n">
        <v>57.08</v>
      </c>
      <c r="L4" s="5" t="inlineStr">
        <is>
          <t>Buena</t>
        </is>
      </c>
      <c r="M4" s="4" t="n">
        <v>9.220000000000001</v>
      </c>
      <c r="N4" s="4" t="n">
        <v>2.75</v>
      </c>
      <c r="O4" s="5" t="inlineStr">
        <is>
          <t>Presencia de issues altos</t>
        </is>
      </c>
      <c r="P4" s="6" t="inlineStr">
        <is>
          <t>Sin datos</t>
        </is>
      </c>
      <c r="Q4" s="7" t="inlineStr">
        <is>
          <t>Sin datos</t>
        </is>
      </c>
      <c r="R4" s="6" t="inlineStr">
        <is>
          <t>Sin datos</t>
        </is>
      </c>
      <c r="S4" s="7" t="inlineStr">
        <is>
          <t>Sin datos</t>
        </is>
      </c>
      <c r="T4" s="8" t="n">
        <v>1.74375</v>
      </c>
      <c r="U4" s="5" t="inlineStr">
        <is>
          <t>Consumo bajo de CPU</t>
        </is>
      </c>
      <c r="V4" s="8" t="n">
        <v>9.335727109515259</v>
      </c>
      <c r="W4" s="5" t="inlineStr">
        <is>
          <t>Consumo bajo de CPU</t>
        </is>
      </c>
    </row>
    <row r="5">
      <c r="A5" s="2" t="inlineStr">
        <is>
          <t>L2-1C2026-AND-V</t>
        </is>
      </c>
      <c r="B5" s="3" t="inlineStr">
        <is>
          <t>Sistema de Atención al Volante</t>
        </is>
      </c>
      <c r="C5" s="3" t="inlineStr">
        <is>
          <t>L2-1C2026</t>
        </is>
      </c>
      <c r="D5" s="3" t="inlineStr">
        <is>
          <t>Android</t>
        </is>
      </c>
      <c r="E5" s="3" t="inlineStr">
        <is>
          <t>Vibecoding</t>
        </is>
      </c>
      <c r="F5" s="3" t="inlineStr">
        <is>
          <t>Gemini</t>
        </is>
      </c>
      <c r="G5" s="3" t="inlineStr">
        <is>
          <t>Gemini Pro</t>
        </is>
      </c>
      <c r="H5" s="3" t="inlineStr">
        <is>
          <t>Kotlin</t>
        </is>
      </c>
      <c r="I5" s="4" t="n">
        <v>1.63</v>
      </c>
      <c r="J5" s="5" t="inlineStr">
        <is>
          <t>Bajo</t>
        </is>
      </c>
      <c r="K5" s="4" t="n">
        <v>53.99</v>
      </c>
      <c r="L5" s="5" t="inlineStr">
        <is>
          <t>Buena</t>
        </is>
      </c>
      <c r="M5" s="4" t="n">
        <v>104.69</v>
      </c>
      <c r="N5" s="4" t="n">
        <v>1.75</v>
      </c>
      <c r="O5" s="5" t="inlineStr">
        <is>
          <t>Predominan issues medios</t>
        </is>
      </c>
      <c r="P5" s="4" t="n">
        <v>3</v>
      </c>
      <c r="Q5" s="5" t="inlineStr">
        <is>
          <t>Muy buen uso de concurrencia</t>
        </is>
      </c>
      <c r="R5" s="4" t="n">
        <v>4.96</v>
      </c>
      <c r="S5" s="5" t="inlineStr">
        <is>
          <t>Bajo NLOC/token, ajustada por refinamientos.</t>
        </is>
      </c>
      <c r="T5" s="8" t="n">
        <v>1.275</v>
      </c>
      <c r="U5" s="5" t="inlineStr">
        <is>
          <t>Consumo bajo de CPU</t>
        </is>
      </c>
      <c r="V5" s="8" t="n">
        <v>16.42728904847397</v>
      </c>
      <c r="W5" s="5" t="inlineStr">
        <is>
          <t>Consumo bajo de CPU</t>
        </is>
      </c>
    </row>
    <row r="6">
      <c r="A6" s="2" t="inlineStr">
        <is>
          <t>L2-1C2026-ESP-M</t>
        </is>
      </c>
      <c r="B6" s="3" t="inlineStr">
        <is>
          <t>Sistema de Atención al Volante</t>
        </is>
      </c>
      <c r="C6" s="3" t="inlineStr">
        <is>
          <t>L2-1C2026</t>
        </is>
      </c>
      <c r="D6" s="3" t="inlineStr">
        <is>
          <t>ESP32</t>
        </is>
      </c>
      <c r="E6" s="3" t="inlineStr">
        <is>
          <t>Manual</t>
        </is>
      </c>
      <c r="F6" s="3" t="inlineStr">
        <is>
          <t>No aplica</t>
        </is>
      </c>
      <c r="G6" s="3" t="inlineStr">
        <is>
          <t>No aplica</t>
        </is>
      </c>
      <c r="H6" s="3" t="inlineStr">
        <is>
          <t>Wiring</t>
        </is>
      </c>
      <c r="I6" s="6" t="inlineStr">
        <is>
          <t>Sin datos</t>
        </is>
      </c>
      <c r="J6" s="7" t="inlineStr">
        <is>
          <t>Sin datos</t>
        </is>
      </c>
      <c r="K6" s="6" t="inlineStr">
        <is>
          <t>Sin datos</t>
        </is>
      </c>
      <c r="L6" s="7" t="inlineStr">
        <is>
          <t>Sin datos</t>
        </is>
      </c>
      <c r="M6" s="6" t="inlineStr">
        <is>
          <t>Sin datos</t>
        </is>
      </c>
      <c r="N6" s="6" t="inlineStr">
        <is>
          <t>Sin datos</t>
        </is>
      </c>
      <c r="O6" s="7" t="inlineStr">
        <is>
          <t>Sin datos</t>
        </is>
      </c>
      <c r="P6" s="6" t="inlineStr">
        <is>
          <t>Sin datos</t>
        </is>
      </c>
      <c r="Q6" s="7" t="inlineStr">
        <is>
          <t>Sin datos</t>
        </is>
      </c>
      <c r="R6" s="6" t="inlineStr">
        <is>
          <t>Sin datos</t>
        </is>
      </c>
      <c r="S6" s="7" t="inlineStr">
        <is>
          <t>Sin datos</t>
        </is>
      </c>
      <c r="T6" s="9" t="inlineStr">
        <is>
          <t>Sin datos</t>
        </is>
      </c>
      <c r="U6" s="7" t="inlineStr">
        <is>
          <t>Sin datos</t>
        </is>
      </c>
      <c r="V6" s="9" t="inlineStr">
        <is>
          <t>Sin datos</t>
        </is>
      </c>
      <c r="W6" s="7" t="inlineStr">
        <is>
          <t>Sin datos</t>
        </is>
      </c>
    </row>
    <row r="7">
      <c r="A7" s="2" t="inlineStr">
        <is>
          <t>L2-1C2026-ESP-V</t>
        </is>
      </c>
      <c r="B7" s="3" t="inlineStr">
        <is>
          <t>Sistema de Atención al Volante</t>
        </is>
      </c>
      <c r="C7" s="3" t="inlineStr">
        <is>
          <t>L2-1C2026</t>
        </is>
      </c>
      <c r="D7" s="3" t="inlineStr">
        <is>
          <t>ESP32</t>
        </is>
      </c>
      <c r="E7" s="3" t="inlineStr">
        <is>
          <t>Vibecoding</t>
        </is>
      </c>
      <c r="F7" s="3" t="inlineStr">
        <is>
          <t>ChatGPT</t>
        </is>
      </c>
      <c r="G7" s="3" t="inlineStr">
        <is>
          <t>Gemini Pro</t>
        </is>
      </c>
      <c r="H7" s="3" t="inlineStr">
        <is>
          <t>Wiring</t>
        </is>
      </c>
      <c r="I7" s="6" t="inlineStr">
        <is>
          <t>Sin datos</t>
        </is>
      </c>
      <c r="J7" s="7" t="inlineStr">
        <is>
          <t>Sin datos</t>
        </is>
      </c>
      <c r="K7" s="6" t="inlineStr">
        <is>
          <t>Sin datos</t>
        </is>
      </c>
      <c r="L7" s="7" t="inlineStr">
        <is>
          <t>Sin datos</t>
        </is>
      </c>
      <c r="M7" s="6" t="inlineStr">
        <is>
          <t>Sin datos</t>
        </is>
      </c>
      <c r="N7" s="6" t="inlineStr">
        <is>
          <t>Sin datos</t>
        </is>
      </c>
      <c r="O7" s="7" t="inlineStr">
        <is>
          <t>Sin datos</t>
        </is>
      </c>
      <c r="P7" s="6" t="inlineStr">
        <is>
          <t>Sin datos</t>
        </is>
      </c>
      <c r="Q7" s="7" t="inlineStr">
        <is>
          <t>Sin datos</t>
        </is>
      </c>
      <c r="R7" s="6" t="inlineStr">
        <is>
          <t>Sin datos</t>
        </is>
      </c>
      <c r="S7" s="7" t="inlineStr">
        <is>
          <t>Sin datos</t>
        </is>
      </c>
      <c r="T7" s="9" t="inlineStr">
        <is>
          <t>Sin datos</t>
        </is>
      </c>
      <c r="U7" s="7" t="inlineStr">
        <is>
          <t>Sin datos</t>
        </is>
      </c>
      <c r="V7" s="9" t="inlineStr">
        <is>
          <t>Sin datos</t>
        </is>
      </c>
      <c r="W7" s="7" t="inlineStr">
        <is>
          <t>Sin datos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43" customWidth="1" min="2" max="2"/>
    <col width="43" customWidth="1" min="3" max="3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</cols>
  <sheetData>
    <row r="1" ht="32" customHeight="1">
      <c r="A1" s="10" t="inlineStr">
        <is>
          <t>COMPARACIÓN · MANUAL / VIBECODING</t>
        </is>
      </c>
    </row>
    <row r="2">
      <c r="E2" t="inlineStr">
        <is>
          <t>L1-1C2026</t>
        </is>
      </c>
      <c r="F2" t="inlineStr">
        <is>
          <t>Android</t>
        </is>
      </c>
      <c r="G2" t="inlineStr">
        <is>
          <t>L1-1C2026-AND-M</t>
        </is>
      </c>
      <c r="H2" t="inlineStr">
        <is>
          <t>L1-1C2026-AND-V</t>
        </is>
      </c>
      <c r="I2" t="inlineStr">
        <is>
          <t>L1-1C2026|android</t>
        </is>
      </c>
      <c r="J2" t="inlineStr">
        <is>
          <t>L1-1C2026</t>
        </is>
      </c>
      <c r="K2" t="inlineStr">
        <is>
          <t>Android</t>
        </is>
      </c>
    </row>
    <row r="3">
      <c r="A3" s="11" t="inlineStr">
        <is>
          <t>ID proyecto</t>
        </is>
      </c>
      <c r="B3" s="12" t="inlineStr">
        <is>
          <t>L1-1C2026</t>
        </is>
      </c>
      <c r="E3" t="inlineStr">
        <is>
          <t>L2-1C2026</t>
        </is>
      </c>
      <c r="F3" t="inlineStr">
        <is>
          <t>Android</t>
        </is>
      </c>
      <c r="G3" t="inlineStr">
        <is>
          <t>L2-1C2026-AND-M</t>
        </is>
      </c>
      <c r="H3" t="inlineStr">
        <is>
          <t>L2-1C2026-AND-V</t>
        </is>
      </c>
      <c r="I3" t="inlineStr">
        <is>
          <t>L2-1C2026|android</t>
        </is>
      </c>
      <c r="J3" t="inlineStr">
        <is>
          <t>L2-1C2026</t>
        </is>
      </c>
      <c r="K3" t="inlineStr">
        <is>
          <t>ESP32</t>
        </is>
      </c>
    </row>
    <row r="4">
      <c r="A4" s="11" t="inlineStr">
        <is>
          <t>Dispositivo</t>
        </is>
      </c>
      <c r="B4" s="12" t="inlineStr">
        <is>
          <t>Android</t>
        </is>
      </c>
      <c r="E4" t="inlineStr">
        <is>
          <t>L2-1C2026</t>
        </is>
      </c>
      <c r="F4" t="inlineStr">
        <is>
          <t>ESP32</t>
        </is>
      </c>
      <c r="G4" t="inlineStr">
        <is>
          <t>L2-1C2026-ESP-M</t>
        </is>
      </c>
      <c r="H4" t="inlineStr">
        <is>
          <t>L2-1C2026-ESP-V</t>
        </is>
      </c>
      <c r="I4" t="inlineStr">
        <is>
          <t>L2-1C2026|esp32</t>
        </is>
      </c>
    </row>
    <row r="5">
      <c r="A5" t="inlineStr">
        <is>
          <t>Seleccioná un ID y un dispositivo para comparar ambas implementaciones</t>
        </is>
      </c>
    </row>
    <row r="6" ht="25" customHeight="1">
      <c r="A6" s="12" t="inlineStr">
        <is>
          <t>Campo</t>
        </is>
      </c>
      <c r="B6" s="12" t="inlineStr">
        <is>
          <t>Manual</t>
        </is>
      </c>
      <c r="C6" s="12" t="inlineStr">
        <is>
          <t>Vibecoding</t>
        </is>
      </c>
    </row>
    <row r="7" ht="30" customHeight="1">
      <c r="A7" s="13" t="inlineStr">
        <is>
          <t>Código</t>
        </is>
      </c>
      <c r="B7" s="14">
        <f>IF(OR($B$3="",$B$4=""),"Sin datos",IFERROR(INDEX($G$2:$G$4,MATCH($B$3&amp;"|"&amp;LOWER($B$4),$I$2:$I$4,0)),"Sin datos"))</f>
        <v/>
      </c>
      <c r="C7" s="14">
        <f>IF(OR($B$3="",$B$4=""),"Sin datos",IFERROR(INDEX($H$2:$H$4,MATCH($B$3&amp;"|"&amp;LOWER($B$4),$I$2:$I$4,0)),"Sin datos"))</f>
        <v/>
      </c>
    </row>
    <row r="8" ht="30" customHeight="1">
      <c r="A8" s="13" t="inlineStr">
        <is>
          <t>Nombre del proyecto</t>
        </is>
      </c>
      <c r="B8" s="15">
        <f>IF(OR($B$3="",$B$4="",B$7="Sin datos"),"Sin datos",IFERROR(IF(COUNTBLANK(INDEX('Resumen'!$B$2:$B$7,MATCH(B$7,'Resumen'!$A$2:$A$7,0)))&gt;0,"Sin datos",INDEX('Resumen'!$B$2:$B$7,MATCH(B$7,'Resumen'!$A$2:$A$7,0))),"Sin datos"))</f>
        <v/>
      </c>
      <c r="C8" s="15">
        <f>IF(OR($B$3="",$B$4="",C$7="Sin datos"),"Sin datos",IFERROR(IF(COUNTBLANK(INDEX('Resumen'!$B$2:$B$7,MATCH(C$7,'Resumen'!$A$2:$A$7,0)))&gt;0,"Sin datos",INDEX('Resumen'!$B$2:$B$7,MATCH(C$7,'Resumen'!$A$2:$A$7,0))),"Sin datos"))</f>
        <v/>
      </c>
    </row>
    <row r="9" ht="30" customHeight="1">
      <c r="A9" s="13" t="inlineStr">
        <is>
          <t>ID proyecto</t>
        </is>
      </c>
      <c r="B9" s="15">
        <f>IF(OR($B$3="",$B$4="",B$7="Sin datos"),"Sin datos",IFERROR(IF(COUNTBLANK(INDEX('Resumen'!$C$2:$C$7,MATCH(B$7,'Resumen'!$A$2:$A$7,0)))&gt;0,"Sin datos",INDEX('Resumen'!$C$2:$C$7,MATCH(B$7,'Resumen'!$A$2:$A$7,0))),"Sin datos"))</f>
        <v/>
      </c>
      <c r="C9" s="15">
        <f>IF(OR($B$3="",$B$4="",C$7="Sin datos"),"Sin datos",IFERROR(IF(COUNTBLANK(INDEX('Resumen'!$C$2:$C$7,MATCH(C$7,'Resumen'!$A$2:$A$7,0)))&gt;0,"Sin datos",INDEX('Resumen'!$C$2:$C$7,MATCH(C$7,'Resumen'!$A$2:$A$7,0))),"Sin datos"))</f>
        <v/>
      </c>
    </row>
    <row r="10" ht="30" customHeight="1">
      <c r="A10" s="13" t="inlineStr">
        <is>
          <t>Dispositivo</t>
        </is>
      </c>
      <c r="B10" s="15">
        <f>IF(OR($B$3="",$B$4="",B$7="Sin datos"),"Sin datos",IFERROR(IF(COUNTBLANK(INDEX('Resumen'!$D$2:$D$7,MATCH(B$7,'Resumen'!$A$2:$A$7,0)))&gt;0,"Sin datos",INDEX('Resumen'!$D$2:$D$7,MATCH(B$7,'Resumen'!$A$2:$A$7,0))),"Sin datos"))</f>
        <v/>
      </c>
      <c r="C10" s="15">
        <f>IF(OR($B$3="",$B$4="",C$7="Sin datos"),"Sin datos",IFERROR(IF(COUNTBLANK(INDEX('Resumen'!$D$2:$D$7,MATCH(C$7,'Resumen'!$A$2:$A$7,0)))&gt;0,"Sin datos",INDEX('Resumen'!$D$2:$D$7,MATCH(C$7,'Resumen'!$A$2:$A$7,0))),"Sin datos"))</f>
        <v/>
      </c>
    </row>
    <row r="11" ht="30" customHeight="1">
      <c r="A11" s="13" t="inlineStr">
        <is>
          <t>Implementación</t>
        </is>
      </c>
      <c r="B11" s="15">
        <f>IF(OR($B$3="",$B$4="",B$7="Sin datos"),"Sin datos",IFERROR(IF(COUNTBLANK(INDEX('Resumen'!$E$2:$E$7,MATCH(B$7,'Resumen'!$A$2:$A$7,0)))&gt;0,"Sin datos",INDEX('Resumen'!$E$2:$E$7,MATCH(B$7,'Resumen'!$A$2:$A$7,0))),"Sin datos"))</f>
        <v/>
      </c>
      <c r="C11" s="15">
        <f>IF(OR($B$3="",$B$4="",C$7="Sin datos"),"Sin datos",IFERROR(IF(COUNTBLANK(INDEX('Resumen'!$E$2:$E$7,MATCH(C$7,'Resumen'!$A$2:$A$7,0)))&gt;0,"Sin datos",INDEX('Resumen'!$E$2:$E$7,MATCH(C$7,'Resumen'!$A$2:$A$7,0))),"Sin datos"))</f>
        <v/>
      </c>
    </row>
    <row r="12" ht="30" customHeight="1">
      <c r="A12" s="13" t="inlineStr">
        <is>
          <t>Herramienta IA</t>
        </is>
      </c>
      <c r="B12" s="15">
        <f>IF(OR($B$3="",$B$4="",B$7="Sin datos"),"Sin datos",IFERROR(IF(COUNTBLANK(INDEX('Resumen'!$F$2:$F$7,MATCH(B$7,'Resumen'!$A$2:$A$7,0)))&gt;0,"Sin datos",INDEX('Resumen'!$F$2:$F$7,MATCH(B$7,'Resumen'!$A$2:$A$7,0))),"Sin datos"))</f>
        <v/>
      </c>
      <c r="C12" s="15">
        <f>IF(OR($B$3="",$B$4="",C$7="Sin datos"),"Sin datos",IFERROR(IF(COUNTBLANK(INDEX('Resumen'!$F$2:$F$7,MATCH(C$7,'Resumen'!$A$2:$A$7,0)))&gt;0,"Sin datos",INDEX('Resumen'!$F$2:$F$7,MATCH(C$7,'Resumen'!$A$2:$A$7,0))),"Sin datos"))</f>
        <v/>
      </c>
    </row>
    <row r="13" ht="30" customHeight="1">
      <c r="A13" s="13" t="inlineStr">
        <is>
          <t>Modelo IA</t>
        </is>
      </c>
      <c r="B13" s="15">
        <f>IF(OR($B$3="",$B$4="",B$7="Sin datos"),"Sin datos",IFERROR(IF(COUNTBLANK(INDEX('Resumen'!$G$2:$G$7,MATCH(B$7,'Resumen'!$A$2:$A$7,0)))&gt;0,"Sin datos",INDEX('Resumen'!$G$2:$G$7,MATCH(B$7,'Resumen'!$A$2:$A$7,0))),"Sin datos"))</f>
        <v/>
      </c>
      <c r="C13" s="15">
        <f>IF(OR($B$3="",$B$4="",C$7="Sin datos"),"Sin datos",IFERROR(IF(COUNTBLANK(INDEX('Resumen'!$G$2:$G$7,MATCH(C$7,'Resumen'!$A$2:$A$7,0)))&gt;0,"Sin datos",INDEX('Resumen'!$G$2:$G$7,MATCH(C$7,'Resumen'!$A$2:$A$7,0))),"Sin datos"))</f>
        <v/>
      </c>
    </row>
    <row r="14" ht="30" customHeight="1">
      <c r="A14" s="13" t="inlineStr">
        <is>
          <t>Lenguaje</t>
        </is>
      </c>
      <c r="B14" s="15">
        <f>IF(OR($B$3="",$B$4="",B$7="Sin datos"),"Sin datos",IFERROR(IF(COUNTBLANK(INDEX('Resumen'!$H$2:$H$7,MATCH(B$7,'Resumen'!$A$2:$A$7,0)))&gt;0,"Sin datos",INDEX('Resumen'!$H$2:$H$7,MATCH(B$7,'Resumen'!$A$2:$A$7,0))),"Sin datos"))</f>
        <v/>
      </c>
      <c r="C14" s="15">
        <f>IF(OR($B$3="",$B$4="",C$7="Sin datos"),"Sin datos",IFERROR(IF(COUNTBLANK(INDEX('Resumen'!$H$2:$H$7,MATCH(C$7,'Resumen'!$A$2:$A$7,0)))&gt;0,"Sin datos",INDEX('Resumen'!$H$2:$H$7,MATCH(C$7,'Resumen'!$A$2:$A$7,0))),"Sin datos"))</f>
        <v/>
      </c>
    </row>
    <row r="15" ht="30" customHeight="1">
      <c r="A15" s="13" t="inlineStr">
        <is>
          <t>CCN promedio</t>
        </is>
      </c>
      <c r="B15" s="16">
        <f>IF(OR($B$3="",$B$4="",B$7="Sin datos"),"Sin datos",IFERROR(IF(COUNTBLANK(INDEX('Resumen'!$I$2:$I$7,MATCH(B$7,'Resumen'!$A$2:$A$7,0)))&gt;0,"Sin datos",INDEX('Resumen'!$I$2:$I$7,MATCH(B$7,'Resumen'!$A$2:$A$7,0))),"Sin datos"))</f>
        <v/>
      </c>
      <c r="C15" s="16">
        <f>IF(OR($B$3="",$B$4="",C$7="Sin datos"),"Sin datos",IFERROR(IF(COUNTBLANK(INDEX('Resumen'!$I$2:$I$7,MATCH(C$7,'Resumen'!$A$2:$A$7,0)))&gt;0,"Sin datos",INDEX('Resumen'!$I$2:$I$7,MATCH(C$7,'Resumen'!$A$2:$A$7,0))),"Sin datos"))</f>
        <v/>
      </c>
    </row>
    <row r="16" ht="30" customHeight="1">
      <c r="A16" s="13" t="inlineStr">
        <is>
          <t>Nivel de CC</t>
        </is>
      </c>
      <c r="B16" s="17">
        <f>IF(OR($B$3="",$B$4="",B$7="Sin datos"),"Sin datos",IFERROR(IF(COUNTBLANK(INDEX('Resumen'!$J$2:$J$7,MATCH(B$7,'Resumen'!$A$2:$A$7,0)))&gt;0,"Sin datos",INDEX('Resumen'!$J$2:$J$7,MATCH(B$7,'Resumen'!$A$2:$A$7,0))),"Sin datos"))</f>
        <v/>
      </c>
      <c r="C16" s="17">
        <f>IF(OR($B$3="",$B$4="",C$7="Sin datos"),"Sin datos",IFERROR(IF(COUNTBLANK(INDEX('Resumen'!$J$2:$J$7,MATCH(C$7,'Resumen'!$A$2:$A$7,0)))&gt;0,"Sin datos",INDEX('Resumen'!$J$2:$J$7,MATCH(C$7,'Resumen'!$A$2:$A$7,0))),"Sin datos"))</f>
        <v/>
      </c>
    </row>
    <row r="17" ht="30" customHeight="1">
      <c r="A17" s="13" t="inlineStr">
        <is>
          <t>MI</t>
        </is>
      </c>
      <c r="B17" s="16">
        <f>IF(OR($B$3="",$B$4="",B$7="Sin datos"),"Sin datos",IFERROR(IF(COUNTBLANK(INDEX('Resumen'!$K$2:$K$7,MATCH(B$7,'Resumen'!$A$2:$A$7,0)))&gt;0,"Sin datos",INDEX('Resumen'!$K$2:$K$7,MATCH(B$7,'Resumen'!$A$2:$A$7,0))),"Sin datos"))</f>
        <v/>
      </c>
      <c r="C17" s="16">
        <f>IF(OR($B$3="",$B$4="",C$7="Sin datos"),"Sin datos",IFERROR(IF(COUNTBLANK(INDEX('Resumen'!$K$2:$K$7,MATCH(C$7,'Resumen'!$A$2:$A$7,0)))&gt;0,"Sin datos",INDEX('Resumen'!$K$2:$K$7,MATCH(C$7,'Resumen'!$A$2:$A$7,0))),"Sin datos"))</f>
        <v/>
      </c>
    </row>
    <row r="18" ht="30" customHeight="1">
      <c r="A18" s="13" t="inlineStr">
        <is>
          <t>Nivel de MI</t>
        </is>
      </c>
      <c r="B18" s="17">
        <f>IF(OR($B$3="",$B$4="",B$7="Sin datos"),"Sin datos",IFERROR(IF(COUNTBLANK(INDEX('Resumen'!$L$2:$L$7,MATCH(B$7,'Resumen'!$A$2:$A$7,0)))&gt;0,"Sin datos",INDEX('Resumen'!$L$2:$L$7,MATCH(B$7,'Resumen'!$A$2:$A$7,0))),"Sin datos"))</f>
        <v/>
      </c>
      <c r="C18" s="17">
        <f>IF(OR($B$3="",$B$4="",C$7="Sin datos"),"Sin datos",IFERROR(IF(COUNTBLANK(INDEX('Resumen'!$L$2:$L$7,MATCH(C$7,'Resumen'!$A$2:$A$7,0)))&gt;0,"Sin datos",INDEX('Resumen'!$L$2:$L$7,MATCH(C$7,'Resumen'!$A$2:$A$7,0))),"Sin datos"))</f>
        <v/>
      </c>
    </row>
    <row r="19" ht="30" customHeight="1">
      <c r="A19" s="13" t="inlineStr">
        <is>
          <t>Issues/KLOC</t>
        </is>
      </c>
      <c r="B19" s="16">
        <f>IF(OR($B$3="",$B$4="",B$7="Sin datos"),"Sin datos",IFERROR(IF(COUNTBLANK(INDEX('Resumen'!$M$2:$M$7,MATCH(B$7,'Resumen'!$A$2:$A$7,0)))&gt;0,"Sin datos",INDEX('Resumen'!$M$2:$M$7,MATCH(B$7,'Resumen'!$A$2:$A$7,0))),"Sin datos"))</f>
        <v/>
      </c>
      <c r="C19" s="16">
        <f>IF(OR($B$3="",$B$4="",C$7="Sin datos"),"Sin datos",IFERROR(IF(COUNTBLANK(INDEX('Resumen'!$M$2:$M$7,MATCH(C$7,'Resumen'!$A$2:$A$7,0)))&gt;0,"Sin datos",INDEX('Resumen'!$M$2:$M$7,MATCH(C$7,'Resumen'!$A$2:$A$7,0))),"Sin datos"))</f>
        <v/>
      </c>
    </row>
    <row r="20" ht="30" customHeight="1">
      <c r="A20" s="13" t="inlineStr">
        <is>
          <t>ISI</t>
        </is>
      </c>
      <c r="B20" s="16">
        <f>IF(OR($B$3="",$B$4="",B$7="Sin datos"),"Sin datos",IFERROR(IF(COUNTBLANK(INDEX('Resumen'!$N$2:$N$7,MATCH(B$7,'Resumen'!$A$2:$A$7,0)))&gt;0,"Sin datos",INDEX('Resumen'!$N$2:$N$7,MATCH(B$7,'Resumen'!$A$2:$A$7,0))),"Sin datos"))</f>
        <v/>
      </c>
      <c r="C20" s="16">
        <f>IF(OR($B$3="",$B$4="",C$7="Sin datos"),"Sin datos",IFERROR(IF(COUNTBLANK(INDEX('Resumen'!$N$2:$N$7,MATCH(C$7,'Resumen'!$A$2:$A$7,0)))&gt;0,"Sin datos",INDEX('Resumen'!$N$2:$N$7,MATCH(C$7,'Resumen'!$A$2:$A$7,0))),"Sin datos"))</f>
        <v/>
      </c>
    </row>
    <row r="21" ht="30" customHeight="1">
      <c r="A21" s="13" t="inlineStr">
        <is>
          <t>Interpretación de Issue</t>
        </is>
      </c>
      <c r="B21" s="17">
        <f>IF(OR($B$3="",$B$4="",B$7="Sin datos"),"Sin datos",IFERROR(IF(COUNTBLANK(INDEX('Resumen'!$O$2:$O$7,MATCH(B$7,'Resumen'!$A$2:$A$7,0)))&gt;0,"Sin datos",INDEX('Resumen'!$O$2:$O$7,MATCH(B$7,'Resumen'!$A$2:$A$7,0))),"Sin datos"))</f>
        <v/>
      </c>
      <c r="C21" s="17">
        <f>IF(OR($B$3="",$B$4="",C$7="Sin datos"),"Sin datos",IFERROR(IF(COUNTBLANK(INDEX('Resumen'!$O$2:$O$7,MATCH(C$7,'Resumen'!$A$2:$A$7,0)))&gt;0,"Sin datos",INDEX('Resumen'!$O$2:$O$7,MATCH(C$7,'Resumen'!$A$2:$A$7,0))),"Sin datos"))</f>
        <v/>
      </c>
    </row>
    <row r="22" ht="30" customHeight="1">
      <c r="A22" s="13" t="inlineStr">
        <is>
          <t>Promedio concurrencia</t>
        </is>
      </c>
      <c r="B22" s="16">
        <f>IF(OR($B$3="",$B$4="",B$7="Sin datos"),"Sin datos",IFERROR(IF(COUNTBLANK(INDEX('Resumen'!$P$2:$P$7,MATCH(B$7,'Resumen'!$A$2:$A$7,0)))&gt;0,"Sin datos",INDEX('Resumen'!$P$2:$P$7,MATCH(B$7,'Resumen'!$A$2:$A$7,0))),"Sin datos"))</f>
        <v/>
      </c>
      <c r="C22" s="16">
        <f>IF(OR($B$3="",$B$4="",C$7="Sin datos"),"Sin datos",IFERROR(IF(COUNTBLANK(INDEX('Resumen'!$P$2:$P$7,MATCH(C$7,'Resumen'!$A$2:$A$7,0)))&gt;0,"Sin datos",INDEX('Resumen'!$P$2:$P$7,MATCH(C$7,'Resumen'!$A$2:$A$7,0))),"Sin datos"))</f>
        <v/>
      </c>
    </row>
    <row r="23" ht="30" customHeight="1">
      <c r="A23" s="13" t="inlineStr">
        <is>
          <t>Interpretación concurrencia</t>
        </is>
      </c>
      <c r="B23" s="17">
        <f>IF(OR($B$3="",$B$4="",B$7="Sin datos"),"Sin datos",IFERROR(IF(COUNTBLANK(INDEX('Resumen'!$Q$2:$Q$7,MATCH(B$7,'Resumen'!$A$2:$A$7,0)))&gt;0,"Sin datos",INDEX('Resumen'!$Q$2:$Q$7,MATCH(B$7,'Resumen'!$A$2:$A$7,0))),"Sin datos"))</f>
        <v/>
      </c>
      <c r="C23" s="17">
        <f>IF(OR($B$3="",$B$4="",C$7="Sin datos"),"Sin datos",IFERROR(IF(COUNTBLANK(INDEX('Resumen'!$Q$2:$Q$7,MATCH(C$7,'Resumen'!$A$2:$A$7,0)))&gt;0,"Sin datos",INDEX('Resumen'!$Q$2:$Q$7,MATCH(C$7,'Resumen'!$A$2:$A$7,0))),"Sin datos"))</f>
        <v/>
      </c>
    </row>
    <row r="24" ht="30" customHeight="1">
      <c r="A24" s="13" t="inlineStr">
        <is>
          <t>Eficiencia de generación</t>
        </is>
      </c>
      <c r="B24" s="16">
        <f>IF(OR($B$3="",$B$4="",B$7="Sin datos"),"Sin datos",IFERROR(IF(COUNTBLANK(INDEX('Resumen'!$R$2:$R$7,MATCH(B$7,'Resumen'!$A$2:$A$7,0)))&gt;0,"Sin datos",INDEX('Resumen'!$R$2:$R$7,MATCH(B$7,'Resumen'!$A$2:$A$7,0))),"Sin datos"))</f>
        <v/>
      </c>
      <c r="C24" s="16">
        <f>IF(OR($B$3="",$B$4="",C$7="Sin datos"),"Sin datos",IFERROR(IF(COUNTBLANK(INDEX('Resumen'!$R$2:$R$7,MATCH(C$7,'Resumen'!$A$2:$A$7,0)))&gt;0,"Sin datos",INDEX('Resumen'!$R$2:$R$7,MATCH(C$7,'Resumen'!$A$2:$A$7,0))),"Sin datos"))</f>
        <v/>
      </c>
    </row>
    <row r="25" ht="30" customHeight="1">
      <c r="A25" s="13" t="inlineStr">
        <is>
          <t>Interpretación tokens</t>
        </is>
      </c>
      <c r="B25" s="17">
        <f>IF(OR($B$3="",$B$4="",B$7="Sin datos"),"Sin datos",IFERROR(IF(COUNTBLANK(INDEX('Resumen'!$S$2:$S$7,MATCH(B$7,'Resumen'!$A$2:$A$7,0)))&gt;0,"Sin datos",INDEX('Resumen'!$S$2:$S$7,MATCH(B$7,'Resumen'!$A$2:$A$7,0))),"Sin datos"))</f>
        <v/>
      </c>
      <c r="C25" s="17">
        <f>IF(OR($B$3="",$B$4="",C$7="Sin datos"),"Sin datos",IFERROR(IF(COUNTBLANK(INDEX('Resumen'!$S$2:$S$7,MATCH(C$7,'Resumen'!$A$2:$A$7,0)))&gt;0,"Sin datos",INDEX('Resumen'!$S$2:$S$7,MATCH(C$7,'Resumen'!$A$2:$A$7,0))),"Sin datos"))</f>
        <v/>
      </c>
    </row>
    <row r="26" ht="30" customHeight="1">
      <c r="A26" s="13" t="inlineStr">
        <is>
          <t>% CPU promedio</t>
        </is>
      </c>
      <c r="B26" s="18">
        <f>IF(OR($B$3="",$B$4="",B$7="Sin datos"),"Sin datos",IFERROR(IF(COUNTBLANK(INDEX('Resumen'!$T$2:$T$7,MATCH(B$7,'Resumen'!$A$2:$A$7,0)))&gt;0,"Sin datos",INDEX('Resumen'!$T$2:$T$7,MATCH(B$7,'Resumen'!$A$2:$A$7,0))),"Sin datos"))</f>
        <v/>
      </c>
      <c r="C26" s="18">
        <f>IF(OR($B$3="",$B$4="",C$7="Sin datos"),"Sin datos",IFERROR(IF(COUNTBLANK(INDEX('Resumen'!$T$2:$T$7,MATCH(C$7,'Resumen'!$A$2:$A$7,0)))&gt;0,"Sin datos",INDEX('Resumen'!$T$2:$T$7,MATCH(C$7,'Resumen'!$A$2:$A$7,0))),"Sin datos"))</f>
        <v/>
      </c>
    </row>
    <row r="27" ht="30" customHeight="1">
      <c r="A27" s="13" t="inlineStr">
        <is>
          <t>Interpretación CPU</t>
        </is>
      </c>
      <c r="B27" s="17">
        <f>IF(OR($B$3="",$B$4="",B$7="Sin datos"),"Sin datos",IFERROR(IF(COUNTBLANK(INDEX('Resumen'!$U$2:$U$7,MATCH(B$7,'Resumen'!$A$2:$A$7,0)))&gt;0,"Sin datos",INDEX('Resumen'!$U$2:$U$7,MATCH(B$7,'Resumen'!$A$2:$A$7,0))),"Sin datos"))</f>
        <v/>
      </c>
      <c r="C27" s="17">
        <f>IF(OR($B$3="",$B$4="",C$7="Sin datos"),"Sin datos",IFERROR(IF(COUNTBLANK(INDEX('Resumen'!$U$2:$U$7,MATCH(C$7,'Resumen'!$A$2:$A$7,0)))&gt;0,"Sin datos",INDEX('Resumen'!$U$2:$U$7,MATCH(C$7,'Resumen'!$A$2:$A$7,0))),"Sin datos"))</f>
        <v/>
      </c>
    </row>
    <row r="28" ht="30" customHeight="1">
      <c r="A28" s="13" t="inlineStr">
        <is>
          <t>% Memoria promedio</t>
        </is>
      </c>
      <c r="B28" s="18">
        <f>IF(OR($B$3="",$B$4="",B$7="Sin datos"),"Sin datos",IFERROR(IF(COUNTBLANK(INDEX('Resumen'!$V$2:$V$7,MATCH(B$7,'Resumen'!$A$2:$A$7,0)))&gt;0,"Sin datos",INDEX('Resumen'!$V$2:$V$7,MATCH(B$7,'Resumen'!$A$2:$A$7,0))),"Sin datos"))</f>
        <v/>
      </c>
      <c r="C28" s="18">
        <f>IF(OR($B$3="",$B$4="",C$7="Sin datos"),"Sin datos",IFERROR(IF(COUNTBLANK(INDEX('Resumen'!$V$2:$V$7,MATCH(C$7,'Resumen'!$A$2:$A$7,0)))&gt;0,"Sin datos",INDEX('Resumen'!$V$2:$V$7,MATCH(C$7,'Resumen'!$A$2:$A$7,0))),"Sin datos"))</f>
        <v/>
      </c>
    </row>
    <row r="29" ht="30" customHeight="1">
      <c r="A29" s="13" t="inlineStr">
        <is>
          <t>Interpretación memoria</t>
        </is>
      </c>
      <c r="B29" s="17">
        <f>IF(OR($B$3="",$B$4="",B$7="Sin datos"),"Sin datos",IFERROR(IF(COUNTBLANK(INDEX('Resumen'!$W$2:$W$7,MATCH(B$7,'Resumen'!$A$2:$A$7,0)))&gt;0,"Sin datos",INDEX('Resumen'!$W$2:$W$7,MATCH(B$7,'Resumen'!$A$2:$A$7,0))),"Sin datos"))</f>
        <v/>
      </c>
      <c r="C29" s="17">
        <f>IF(OR($B$3="",$B$4="",C$7="Sin datos"),"Sin datos",IFERROR(IF(COUNTBLANK(INDEX('Resumen'!$W$2:$W$7,MATCH(C$7,'Resumen'!$A$2:$A$7,0)))&gt;0,"Sin datos",INDEX('Resumen'!$W$2:$W$7,MATCH(C$7,'Resumen'!$A$2:$A$7,0))),"Sin datos"))</f>
        <v/>
      </c>
    </row>
  </sheetData>
  <mergeCells count="1">
    <mergeCell ref="A1:C1"/>
  </mergeCells>
  <conditionalFormatting sqref="B7:C29">
    <cfRule type="expression" priority="1" dxfId="0">
      <formula>B7="Sin datos"</formula>
    </cfRule>
  </conditionalFormatting>
  <dataValidations count="2">
    <dataValidation sqref="B3" showDropDown="0" showInputMessage="0" showErrorMessage="1" allowBlank="0" error="Seleccioná un ID existente" type="list">
      <formula1>=$J$2:$J$3</formula1>
    </dataValidation>
    <dataValidation sqref="B4" showDropDown="0" showInputMessage="0" showErrorMessage="1" allowBlank="0" error="Seleccioná un dispositivo existente" type="list">
      <formula1>=$K$2:$K$3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33" customHeight="1">
      <c r="A1" s="19" t="inlineStr">
        <is>
          <t>COMPARACIÓN VISUAL · MANUAL Y VIBECODING</t>
        </is>
      </c>
    </row>
    <row r="2">
      <c r="A2" s="11" t="inlineStr">
        <is>
          <t>Proyecto y dispositivo</t>
        </is>
      </c>
      <c r="B2" s="20">
        <f>IF(OR(Comparacion!B3="",Comparacion!B4=""),"",Comparacion!B3&amp;" · "&amp;Comparacion!B4)</f>
        <v/>
      </c>
    </row>
    <row r="3" ht="24" customHeight="1">
      <c r="A3" s="21" t="inlineStr">
        <is>
          <t>Las gráficas muestran solo mediciones numéricas registradas. Comparar únicamente el mismo proyecto y dispositivo.</t>
        </is>
      </c>
    </row>
    <row r="4" ht="25" customHeight="1">
      <c r="A4" s="22" t="inlineStr">
        <is>
          <t>Complejidad</t>
        </is>
      </c>
      <c r="B4" s="23" t="inlineStr">
        <is>
          <t>Manual</t>
        </is>
      </c>
      <c r="C4" s="23" t="inlineStr">
        <is>
          <t>Vibecoding</t>
        </is>
      </c>
    </row>
    <row r="5">
      <c r="A5" t="inlineStr">
        <is>
          <t>CCN promedio</t>
        </is>
      </c>
      <c r="B5" s="24">
        <f>IF(ISNUMBER('Comparacion'!B15),'Comparacion'!B15,"")</f>
        <v/>
      </c>
      <c r="C5" s="24">
        <f>IF(ISNUMBER('Comparacion'!C15),'Comparacion'!C15,"")</f>
        <v/>
      </c>
    </row>
    <row r="9" ht="25" customHeight="1">
      <c r="A9" s="22" t="inlineStr">
        <is>
          <t>Mantenibilidad</t>
        </is>
      </c>
      <c r="B9" s="23" t="inlineStr">
        <is>
          <t>Manual</t>
        </is>
      </c>
      <c r="C9" s="23" t="inlineStr">
        <is>
          <t>Vibecoding</t>
        </is>
      </c>
    </row>
    <row r="10">
      <c r="A10" t="inlineStr">
        <is>
          <t>MI</t>
        </is>
      </c>
      <c r="B10" s="24">
        <f>IF(ISNUMBER('Comparacion'!B17),'Comparacion'!B17,"")</f>
        <v/>
      </c>
      <c r="C10" s="24">
        <f>IF(ISNUMBER('Comparacion'!C17),'Comparacion'!C17,"")</f>
        <v/>
      </c>
    </row>
    <row r="14" ht="25" customHeight="1">
      <c r="A14" s="22" t="inlineStr">
        <is>
          <t>Recursos (%)</t>
        </is>
      </c>
      <c r="B14" s="23" t="inlineStr">
        <is>
          <t>Manual</t>
        </is>
      </c>
      <c r="C14" s="23" t="inlineStr">
        <is>
          <t>Vibecoding</t>
        </is>
      </c>
    </row>
    <row r="15">
      <c r="A15" t="inlineStr">
        <is>
          <t>CPU promedio (%)</t>
        </is>
      </c>
      <c r="B15" s="25">
        <f>IF(ISNUMBER('Comparacion'!B26),'Comparacion'!B26,"")</f>
        <v/>
      </c>
      <c r="C15" s="25">
        <f>IF(ISNUMBER('Comparacion'!C26),'Comparacion'!C26,"")</f>
        <v/>
      </c>
    </row>
    <row r="16">
      <c r="A16" t="inlineStr">
        <is>
          <t>Memoria promedio (%)</t>
        </is>
      </c>
      <c r="B16" s="25">
        <f>IF(ISNUMBER('Comparacion'!B28),'Comparacion'!B28,"")</f>
        <v/>
      </c>
      <c r="C16" s="25">
        <f>IF(ISNUMBER('Comparacion'!C28),'Comparacion'!C28,"")</f>
        <v/>
      </c>
    </row>
    <row r="21" ht="25" customHeight="1">
      <c r="A21" s="22" t="inlineStr">
        <is>
          <t>Densidad de issues</t>
        </is>
      </c>
      <c r="B21" s="23" t="inlineStr">
        <is>
          <t>Manual</t>
        </is>
      </c>
      <c r="C21" s="23" t="inlineStr">
        <is>
          <t>Vibecoding</t>
        </is>
      </c>
    </row>
    <row r="22">
      <c r="A22" t="inlineStr">
        <is>
          <t>Issues/KLOC</t>
        </is>
      </c>
      <c r="B22" s="24">
        <f>IF(ISNUMBER('Comparacion'!B19),'Comparacion'!B19,"")</f>
        <v/>
      </c>
      <c r="C22" s="24">
        <f>IF(ISNUMBER('Comparacion'!C19),'Comparacion'!C19,"")</f>
        <v/>
      </c>
    </row>
    <row r="27" ht="46" customHeight="1">
      <c r="A27" s="26" t="inlineStr">
        <is>
          <t>MI requiere un valor del analizador. CPU de ESP32 requiere instrumentación adecuada. Las mediciones deben utilizar el mismo hardware y la misma carga.</t>
        </is>
      </c>
    </row>
    <row r="28"/>
    <row r="29"/>
  </sheetData>
  <mergeCells count="3">
    <mergeCell ref="A3:R3"/>
    <mergeCell ref="A27:D29"/>
    <mergeCell ref="A1:R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2" customWidth="1" min="3" max="3"/>
    <col width="15" customWidth="1" min="4" max="4"/>
    <col width="13" customWidth="1" min="5" max="5"/>
    <col width="14" customWidth="1" min="6" max="6"/>
    <col width="21" customWidth="1" min="7" max="7"/>
    <col width="16" customWidth="1" min="8" max="8"/>
  </cols>
  <sheetData>
    <row r="1">
      <c r="A1" s="1" t="inlineStr">
        <is>
          <t>Código</t>
        </is>
      </c>
      <c r="B1" s="1" t="inlineStr">
        <is>
          <t>Cantidad de funciones</t>
        </is>
      </c>
      <c r="C1" s="1" t="inlineStr">
        <is>
          <t>CCN Total</t>
        </is>
      </c>
      <c r="D1" s="1" t="inlineStr">
        <is>
          <t>CCN promedio</t>
        </is>
      </c>
      <c r="E1" s="1" t="inlineStr">
        <is>
          <t>NLOC total</t>
        </is>
      </c>
      <c r="F1" s="1" t="inlineStr">
        <is>
          <t>Nivel de CC</t>
        </is>
      </c>
      <c r="G1" s="1" t="inlineStr">
        <is>
          <t>Interpretación CC</t>
        </is>
      </c>
      <c r="H1" s="1" t="inlineStr">
        <is>
          <t>NLOC promedio</t>
        </is>
      </c>
    </row>
    <row r="2">
      <c r="A2" t="inlineStr">
        <is>
          <t>L1-1C2026-AND-M</t>
        </is>
      </c>
      <c r="B2" t="n">
        <v>48</v>
      </c>
      <c r="C2" t="n">
        <v>90</v>
      </c>
      <c r="D2" t="n">
        <v>1.88</v>
      </c>
      <c r="E2" t="n">
        <v>456</v>
      </c>
      <c r="F2" t="inlineStr">
        <is>
          <t>Bajo</t>
        </is>
      </c>
      <c r="G2" t="inlineStr">
        <is>
          <t>Testeabilidad alta</t>
        </is>
      </c>
      <c r="H2" t="n">
        <v>9.5</v>
      </c>
    </row>
    <row r="3">
      <c r="A3" t="inlineStr">
        <is>
          <t>L1-1C2026-AND-V</t>
        </is>
      </c>
      <c r="B3" t="n">
        <v>77</v>
      </c>
      <c r="C3" t="n">
        <v>140</v>
      </c>
      <c r="D3" t="n">
        <v>1.82</v>
      </c>
      <c r="E3" t="n">
        <v>571</v>
      </c>
      <c r="F3" t="inlineStr">
        <is>
          <t>Bajo</t>
        </is>
      </c>
      <c r="G3" t="inlineStr">
        <is>
          <t>Testeabilidad alta</t>
        </is>
      </c>
      <c r="H3" t="n">
        <v>7.42</v>
      </c>
    </row>
    <row r="4">
      <c r="A4" t="inlineStr">
        <is>
          <t>L2-1C2026-AND-M</t>
        </is>
      </c>
      <c r="B4" t="n">
        <v>28</v>
      </c>
      <c r="C4" t="n">
        <v>86</v>
      </c>
      <c r="D4" t="n">
        <v>3.07</v>
      </c>
      <c r="E4" t="n">
        <v>434</v>
      </c>
      <c r="F4" t="inlineStr">
        <is>
          <t>Bajo</t>
        </is>
      </c>
      <c r="G4" t="inlineStr">
        <is>
          <t>Testeabilidad alta</t>
        </is>
      </c>
      <c r="H4" t="n">
        <v>15.5</v>
      </c>
    </row>
    <row r="5">
      <c r="A5" t="inlineStr">
        <is>
          <t>L2-1C2026-AND-V</t>
        </is>
      </c>
      <c r="B5" t="n">
        <v>54</v>
      </c>
      <c r="C5" t="n">
        <v>88</v>
      </c>
      <c r="D5" t="n">
        <v>1.63</v>
      </c>
      <c r="E5" t="n">
        <v>640</v>
      </c>
      <c r="F5" t="inlineStr">
        <is>
          <t>Bajo</t>
        </is>
      </c>
      <c r="G5" t="inlineStr">
        <is>
          <t>Testeabilidad alta</t>
        </is>
      </c>
      <c r="H5" t="n">
        <v>11.85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7" customWidth="1" min="3" max="3"/>
    <col width="16" customWidth="1" min="4" max="4"/>
    <col width="8" customWidth="1" min="5" max="5"/>
    <col width="14" customWidth="1" min="6" max="6"/>
    <col width="23" customWidth="1" min="7" max="7"/>
  </cols>
  <sheetData>
    <row r="1">
      <c r="A1" s="1" t="inlineStr">
        <is>
          <t>Código</t>
        </is>
      </c>
      <c r="B1" s="1" t="inlineStr">
        <is>
          <t>NLOC MI</t>
        </is>
      </c>
      <c r="C1" s="1" t="inlineStr">
        <is>
          <t>Cantidad de funciones MI</t>
        </is>
      </c>
      <c r="D1" s="1" t="inlineStr">
        <is>
          <t>Tokens código</t>
        </is>
      </c>
      <c r="E1" s="1" t="inlineStr">
        <is>
          <t>MI</t>
        </is>
      </c>
      <c r="F1" s="1" t="inlineStr">
        <is>
          <t>Nivel de MI</t>
        </is>
      </c>
      <c r="G1" s="1" t="inlineStr">
        <is>
          <t>Interpretación MI</t>
        </is>
      </c>
    </row>
    <row r="2">
      <c r="A2" t="inlineStr">
        <is>
          <t>L1-1C2026-AND-M</t>
        </is>
      </c>
      <c r="B2" t="n">
        <v>456</v>
      </c>
      <c r="C2" t="n">
        <v>48</v>
      </c>
      <c r="D2" t="n">
        <v>3219</v>
      </c>
      <c r="E2" t="n">
        <v>53.1</v>
      </c>
      <c r="F2" t="inlineStr">
        <is>
          <t>Buena</t>
        </is>
      </c>
      <c r="G2" t="inlineStr">
        <is>
          <t>Buena mantenibilidad</t>
        </is>
      </c>
    </row>
    <row r="3">
      <c r="A3" t="inlineStr">
        <is>
          <t>L1-1C2026-AND-V</t>
        </is>
      </c>
      <c r="B3" t="n">
        <v>571</v>
      </c>
      <c r="C3" t="n">
        <v>77</v>
      </c>
      <c r="D3" t="n">
        <v>3686</v>
      </c>
      <c r="E3" t="n">
        <v>50.98</v>
      </c>
      <c r="F3" t="inlineStr">
        <is>
          <t>Buena</t>
        </is>
      </c>
      <c r="G3" t="inlineStr">
        <is>
          <t>Buena mantenibilidad</t>
        </is>
      </c>
    </row>
    <row r="4">
      <c r="A4" t="inlineStr">
        <is>
          <t>L2-1C2026-AND-M</t>
        </is>
      </c>
      <c r="B4" t="n">
        <v>434</v>
      </c>
      <c r="C4" t="n">
        <v>28</v>
      </c>
      <c r="D4" t="n">
        <v>3007</v>
      </c>
      <c r="E4" t="n">
        <v>57.08</v>
      </c>
      <c r="F4" t="inlineStr">
        <is>
          <t>Buena</t>
        </is>
      </c>
      <c r="G4" t="inlineStr">
        <is>
          <t>Buena mantenibilidad</t>
        </is>
      </c>
    </row>
    <row r="5">
      <c r="A5" t="inlineStr">
        <is>
          <t>L2-1C2026-AND-V</t>
        </is>
      </c>
      <c r="B5" t="n">
        <v>640</v>
      </c>
      <c r="C5" t="n">
        <v>54</v>
      </c>
      <c r="D5" t="n">
        <v>3525</v>
      </c>
      <c r="E5" t="n">
        <v>53.99</v>
      </c>
      <c r="F5" t="inlineStr">
        <is>
          <t>Buena</t>
        </is>
      </c>
      <c r="G5" t="inlineStr">
        <is>
          <t>Buena mantenibilidad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8" customWidth="1" min="3" max="3"/>
    <col width="14" customWidth="1" min="4" max="4"/>
    <col width="7" customWidth="1" min="5" max="5"/>
    <col width="15" customWidth="1" min="6" max="6"/>
    <col width="28" customWidth="1" min="7" max="7"/>
    <col width="25" customWidth="1" min="8" max="8"/>
    <col width="23" customWidth="1" min="9" max="9"/>
    <col width="24" customWidth="1" min="10" max="10"/>
    <col width="23" customWidth="1" min="11" max="11"/>
    <col width="45" customWidth="1" min="12" max="12"/>
  </cols>
  <sheetData>
    <row r="1">
      <c r="A1" s="1" t="inlineStr">
        <is>
          <t>Código</t>
        </is>
      </c>
      <c r="B1" s="1" t="inlineStr">
        <is>
          <t>Analizador</t>
        </is>
      </c>
      <c r="C1" s="1" t="inlineStr">
        <is>
          <t>Total de issues</t>
        </is>
      </c>
      <c r="D1" s="1" t="inlineStr">
        <is>
          <t>Issues/KLOC</t>
        </is>
      </c>
      <c r="E1" s="1" t="inlineStr">
        <is>
          <t>ISI</t>
        </is>
      </c>
      <c r="F1" s="1" t="inlineStr">
        <is>
          <t>Nivel de ISI</t>
        </is>
      </c>
      <c r="G1" s="1" t="inlineStr">
        <is>
          <t>Interpretación de ISI</t>
        </is>
      </c>
      <c r="H1" s="1" t="inlineStr">
        <is>
          <t>Observacion</t>
        </is>
      </c>
      <c r="I1" s="1" t="inlineStr">
        <is>
          <t>Cant. severidad alta</t>
        </is>
      </c>
      <c r="J1" s="1" t="inlineStr">
        <is>
          <t>Cant. severidad media</t>
        </is>
      </c>
      <c r="K1" s="1" t="inlineStr">
        <is>
          <t>Cant. severidad baja</t>
        </is>
      </c>
      <c r="L1" s="1" t="inlineStr">
        <is>
          <t>Reglas incumplidas</t>
        </is>
      </c>
    </row>
    <row r="2">
      <c r="A2" t="inlineStr">
        <is>
          <t>L1-1C2026-AND-M</t>
        </is>
      </c>
      <c r="B2" t="inlineStr">
        <is>
          <t>PMD</t>
        </is>
      </c>
      <c r="C2" t="n">
        <v>30</v>
      </c>
      <c r="D2" t="n">
        <v>65.79000000000001</v>
      </c>
      <c r="E2" t="n">
        <v>2.03</v>
      </c>
      <c r="F2" t="inlineStr">
        <is>
          <t>Moderado</t>
        </is>
      </c>
      <c r="G2" t="inlineStr">
        <is>
          <t>Predominan issues medios</t>
        </is>
      </c>
      <c r="H2" t="inlineStr">
        <is>
          <t>Contiene issues medios</t>
        </is>
      </c>
      <c r="I2" t="n">
        <v>2</v>
      </c>
      <c r="J2" t="n">
        <v>23</v>
      </c>
      <c r="K2" t="n">
        <v>5</v>
      </c>
      <c r="L2" s="27" t="inlineStr">
        <is>
          <t>LooseCoupling: 7; UncommentedEmptyMethodBody: 6; LiteralsFirstInComparisons: 6; UnnecessaryImport: 5; SingularField: 1; UnusedPrivateMethod: 1; UseUtilityClass: 1; ClassWithOnlyPrivateConstructorsShouldBeFinal: 1; NonThreadSafeSingleton: 1; MethodNamingConventions: 1</t>
        </is>
      </c>
    </row>
    <row r="3">
      <c r="A3" t="inlineStr">
        <is>
          <t>L1-1C2026-AND-V</t>
        </is>
      </c>
      <c r="B3" t="inlineStr">
        <is>
          <t>PMD</t>
        </is>
      </c>
      <c r="C3" t="n">
        <v>9</v>
      </c>
      <c r="D3" t="n">
        <v>15.76</v>
      </c>
      <c r="E3" t="n">
        <v>2.67</v>
      </c>
      <c r="F3" t="inlineStr">
        <is>
          <t>Alto</t>
        </is>
      </c>
      <c r="G3" t="inlineStr">
        <is>
          <t>Presencia de issues altos</t>
        </is>
      </c>
      <c r="H3" t="inlineStr">
        <is>
          <t>Contiene issues altos</t>
        </is>
      </c>
      <c r="I3" t="n">
        <v>2</v>
      </c>
      <c r="J3" t="n">
        <v>7</v>
      </c>
      <c r="K3" t="n">
        <v>0</v>
      </c>
      <c r="L3" s="27" t="inlineStr">
        <is>
          <t>UncommentedEmptyMethodBody: 6; ClassWithOnlyPrivateConstructorsShouldBeFinal: 2; LooseCoupling: 1</t>
        </is>
      </c>
    </row>
    <row r="4">
      <c r="A4" t="inlineStr">
        <is>
          <t>L2-1C2026-AND-M</t>
        </is>
      </c>
      <c r="B4" t="inlineStr">
        <is>
          <t>PMD</t>
        </is>
      </c>
      <c r="C4" t="n">
        <v>4</v>
      </c>
      <c r="D4" t="n">
        <v>9.220000000000001</v>
      </c>
      <c r="E4" t="n">
        <v>2.75</v>
      </c>
      <c r="F4" t="inlineStr">
        <is>
          <t>Alto</t>
        </is>
      </c>
      <c r="G4" t="inlineStr">
        <is>
          <t>Presencia de issues altos</t>
        </is>
      </c>
      <c r="H4" t="inlineStr">
        <is>
          <t>Contiene issues altos</t>
        </is>
      </c>
      <c r="I4" t="n">
        <v>1</v>
      </c>
      <c r="J4" t="n">
        <v>3</v>
      </c>
      <c r="K4" t="n">
        <v>0</v>
      </c>
      <c r="L4" s="27" t="inlineStr">
        <is>
          <t>ControlStatementBraces: 2; UselessQualifiedThis: 1; MethodNamingConventions: 1</t>
        </is>
      </c>
    </row>
    <row r="5">
      <c r="A5" t="inlineStr">
        <is>
          <t>L2-1C2026-AND-V</t>
        </is>
      </c>
      <c r="B5" t="inlineStr">
        <is>
          <t>Detekt</t>
        </is>
      </c>
      <c r="C5" t="n">
        <v>67</v>
      </c>
      <c r="D5" t="n">
        <v>104.69</v>
      </c>
      <c r="E5" t="n">
        <v>1.75</v>
      </c>
      <c r="F5" t="inlineStr">
        <is>
          <t>Moderado</t>
        </is>
      </c>
      <c r="G5" t="inlineStr">
        <is>
          <t>Predominan issues medios</t>
        </is>
      </c>
      <c r="H5" t="inlineStr">
        <is>
          <t>Contiene issues medios</t>
        </is>
      </c>
      <c r="I5" t="n">
        <v>5</v>
      </c>
      <c r="J5" t="n">
        <v>30</v>
      </c>
      <c r="K5" t="n">
        <v>32</v>
      </c>
      <c r="L5" s="27" t="inlineStr">
        <is>
          <t>detekt.MagicNumber: 29; detekt.WildcardImport: 16; detekt.FunctionNaming: 13; detekt.MaxLineLength: 3; detekt.LongMethod: 2; detekt.TooGenericExceptionCaught: 2; detekt.SwallowedException: 1; detekt.ReturnCount: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33" customWidth="1" min="2" max="2"/>
    <col width="45" customWidth="1" min="3" max="3"/>
  </cols>
  <sheetData>
    <row r="1">
      <c r="A1" s="1" t="inlineStr">
        <is>
          <t>Código</t>
        </is>
      </c>
      <c r="B1" s="1" t="inlineStr">
        <is>
          <t>Nombre del proyecto</t>
        </is>
      </c>
      <c r="C1" s="1" t="inlineStr">
        <is>
          <t>Error</t>
        </is>
      </c>
    </row>
    <row r="2">
      <c r="A2" t="inlineStr">
        <is>
          <t>L2-1C2026-ESP-M</t>
        </is>
      </c>
      <c r="B2" t="inlineStr">
        <is>
          <t>Sistema de Atención al Volante</t>
        </is>
      </c>
      <c r="C2" t="inlineStr">
        <is>
          <t>Análisis complejidad: Lenguaje no soportado: wiring</t>
        </is>
      </c>
    </row>
    <row r="3">
      <c r="A3" t="inlineStr">
        <is>
          <t>L2-1C2026-ESP-M</t>
        </is>
      </c>
      <c r="B3" t="inlineStr">
        <is>
          <t>Sistema de Atención al Volante</t>
        </is>
      </c>
      <c r="C3" t="inlineStr">
        <is>
          <t>Análisis mantenibilidad: No se generó el CSV de Lizard en esta ejecución</t>
        </is>
      </c>
    </row>
    <row r="4">
      <c r="A4" t="inlineStr">
        <is>
          <t>L2-1C2026-ESP-M</t>
        </is>
      </c>
      <c r="B4" t="inlineStr">
        <is>
          <t>Sistema de Atención al Volante</t>
        </is>
      </c>
      <c r="C4" t="inlineStr">
        <is>
          <t>Análisis tokens: 'NoneType' object has no attribute 'nloc_total'</t>
        </is>
      </c>
    </row>
    <row r="5">
      <c r="A5" t="inlineStr">
        <is>
          <t>L2-1C2026-ESP-V</t>
        </is>
      </c>
      <c r="B5" t="inlineStr">
        <is>
          <t>Sistema de Atención al Volante</t>
        </is>
      </c>
      <c r="C5" t="inlineStr">
        <is>
          <t>Análisis complejidad: Lenguaje no soportado: wiring</t>
        </is>
      </c>
    </row>
    <row r="6">
      <c r="A6" t="inlineStr">
        <is>
          <t>L2-1C2026-ESP-V</t>
        </is>
      </c>
      <c r="B6" t="inlineStr">
        <is>
          <t>Sistema de Atención al Volante</t>
        </is>
      </c>
      <c r="C6" t="inlineStr">
        <is>
          <t>Análisis mantenibilidad: No se generó el CSV de Lizard en esta ejecución</t>
        </is>
      </c>
    </row>
    <row r="7">
      <c r="A7" t="inlineStr">
        <is>
          <t>L2-1C2026-ESP-V</t>
        </is>
      </c>
      <c r="B7" t="inlineStr">
        <is>
          <t>Sistema de Atención al Volante</t>
        </is>
      </c>
      <c r="C7" t="inlineStr">
        <is>
          <t>Análisis tokens: 'NoneType' object has no attribute 'nloc_total'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4" customWidth="1" min="3" max="3"/>
    <col width="35" customWidth="1" min="4" max="4"/>
    <col width="34" customWidth="1" min="5" max="5"/>
    <col width="24" customWidth="1" min="6" max="6"/>
    <col width="41" customWidth="1" min="7" max="7"/>
  </cols>
  <sheetData>
    <row r="1">
      <c r="A1" s="1" t="inlineStr">
        <is>
          <t>Código</t>
        </is>
      </c>
      <c r="B1" s="1" t="inlineStr">
        <is>
          <t>Sincronización correcta</t>
        </is>
      </c>
      <c r="C1" s="1" t="inlineStr">
        <is>
          <t>Ausencia de deadlocks</t>
        </is>
      </c>
      <c r="D1" s="1" t="inlineStr">
        <is>
          <t>Ausencia de condición de carrera</t>
        </is>
      </c>
      <c r="E1" s="1" t="inlineStr">
        <is>
          <t>Uso correcto de exclusión mutua</t>
        </is>
      </c>
      <c r="F1" s="1" t="inlineStr">
        <is>
          <t>Promedio concurrencia</t>
        </is>
      </c>
      <c r="G1" s="1" t="inlineStr">
        <is>
          <t>Interpretación concurrencia</t>
        </is>
      </c>
    </row>
    <row r="2">
      <c r="A2" t="inlineStr">
        <is>
          <t>L1-1C2026-AND-V</t>
        </is>
      </c>
      <c r="B2" t="inlineStr">
        <is>
          <t>Media</t>
        </is>
      </c>
      <c r="C2" t="inlineStr">
        <is>
          <t>Alta</t>
        </is>
      </c>
      <c r="D2" t="inlineStr">
        <is>
          <t>Alta</t>
        </is>
      </c>
      <c r="E2" t="inlineStr">
        <is>
          <t>Alta</t>
        </is>
      </c>
      <c r="F2" t="n">
        <v>2.75</v>
      </c>
      <c r="G2" t="inlineStr">
        <is>
          <t>Hay aspectos que requieren observación</t>
        </is>
      </c>
    </row>
    <row r="3">
      <c r="A3" t="inlineStr">
        <is>
          <t>L2-1C2026-AND-V</t>
        </is>
      </c>
      <c r="B3" t="inlineStr">
        <is>
          <t>Alta</t>
        </is>
      </c>
      <c r="C3" t="inlineStr">
        <is>
          <t>Alta</t>
        </is>
      </c>
      <c r="D3" t="inlineStr">
        <is>
          <t>Alta</t>
        </is>
      </c>
      <c r="E3" t="inlineStr">
        <is>
          <t>Alta</t>
        </is>
      </c>
      <c r="F3" t="n">
        <v>3</v>
      </c>
      <c r="G3" t="inlineStr">
        <is>
          <t>Muy buen uso de concurrencia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2" customWidth="1" min="3" max="3"/>
    <col width="16" customWidth="1" min="4" max="4"/>
    <col width="21" customWidth="1" min="5" max="5"/>
    <col width="45" customWidth="1" min="6" max="6"/>
    <col width="23" customWidth="1" min="7" max="7"/>
    <col width="22" customWidth="1" min="8" max="8"/>
    <col width="45" customWidth="1" min="9" max="9"/>
  </cols>
  <sheetData>
    <row r="1">
      <c r="A1" s="1" t="inlineStr">
        <is>
          <t>Código</t>
        </is>
      </c>
      <c r="B1" s="1" t="inlineStr">
        <is>
          <t>Método utilizado</t>
        </is>
      </c>
      <c r="C1" s="1" t="inlineStr">
        <is>
          <t>NlocTotal</t>
        </is>
      </c>
      <c r="D1" s="1" t="inlineStr">
        <is>
          <t>Refinamientos</t>
        </is>
      </c>
      <c r="E1" s="1" t="inlineStr">
        <is>
          <t>Tokens registrados</t>
        </is>
      </c>
      <c r="F1" s="1" t="inlineStr">
        <is>
          <t>Eficiencia de generación (NLOC/1000 tokens)</t>
        </is>
      </c>
      <c r="G1" s="1" t="inlineStr">
        <is>
          <t>Eficiencia ponderada</t>
        </is>
      </c>
      <c r="H1" s="1" t="inlineStr">
        <is>
          <t>Nivel de eficiencia</t>
        </is>
      </c>
      <c r="I1" s="1" t="inlineStr">
        <is>
          <t>Interpretación</t>
        </is>
      </c>
    </row>
    <row r="2">
      <c r="A2" t="inlineStr">
        <is>
          <t>L1-1C2026-AND-V</t>
        </is>
      </c>
      <c r="B2" t="inlineStr">
        <is>
          <t>herramienta modelo</t>
        </is>
      </c>
      <c r="C2" t="n">
        <v>571</v>
      </c>
      <c r="D2" t="n">
        <v>3</v>
      </c>
      <c r="E2" t="n">
        <v>4024</v>
      </c>
      <c r="F2" t="n">
        <v>141.9</v>
      </c>
      <c r="G2" t="n">
        <v>109.15</v>
      </c>
      <c r="H2" t="inlineStr">
        <is>
          <t>Alto</t>
        </is>
      </c>
      <c r="I2" t="inlineStr">
        <is>
          <t>Alto NLOC/token, ajustada por refinamientos.</t>
        </is>
      </c>
    </row>
    <row r="3">
      <c r="A3" t="inlineStr">
        <is>
          <t>L2-1C2026-AND-V</t>
        </is>
      </c>
      <c r="B3" t="inlineStr">
        <is>
          <t>Context Windows</t>
        </is>
      </c>
      <c r="C3" t="n">
        <v>640</v>
      </c>
      <c r="D3" t="n">
        <v>2</v>
      </c>
      <c r="E3" t="n">
        <v>107500</v>
      </c>
      <c r="F3" t="n">
        <v>5.95</v>
      </c>
      <c r="G3" t="n">
        <v>4.96</v>
      </c>
      <c r="H3" t="inlineStr">
        <is>
          <t>Bajo</t>
        </is>
      </c>
      <c r="I3" t="inlineStr">
        <is>
          <t>Bajo NLOC/token, ajustada por refinamientos.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8" customWidth="1" min="3" max="3"/>
    <col width="16" customWidth="1" min="4" max="4"/>
    <col width="15" customWidth="1" min="5" max="5"/>
    <col width="11" customWidth="1" min="6" max="6"/>
    <col width="21" customWidth="1" min="7" max="7"/>
    <col width="14" customWidth="1" min="8" max="8"/>
    <col width="15" customWidth="1" min="9" max="9"/>
    <col width="22" customWidth="1" min="10" max="10"/>
    <col width="20" customWidth="1" min="11" max="11"/>
    <col width="27" customWidth="1" min="12" max="12"/>
    <col width="25" customWidth="1" min="13" max="13"/>
    <col width="12" customWidth="1" min="14" max="14"/>
    <col width="22" customWidth="1" min="15" max="15"/>
    <col width="20" customWidth="1" min="16" max="16"/>
    <col width="20" customWidth="1" min="17" max="17"/>
    <col width="24" customWidth="1" min="18" max="18"/>
    <col width="24" customWidth="1" min="19" max="19"/>
    <col width="35" customWidth="1" min="20" max="20"/>
    <col width="22" customWidth="1" min="21" max="21"/>
    <col width="16" customWidth="1" min="22" max="22"/>
    <col width="25" customWidth="1" min="23" max="23"/>
  </cols>
  <sheetData>
    <row r="1">
      <c r="A1" s="1" t="inlineStr">
        <is>
          <t>Código</t>
        </is>
      </c>
      <c r="B1" s="1" t="inlineStr">
        <is>
          <t>Lenguaje</t>
        </is>
      </c>
      <c r="C1" s="1" t="inlineStr">
        <is>
          <t>Método medición</t>
        </is>
      </c>
      <c r="D1" s="1" t="inlineStr">
        <is>
          <t>Modo CPU</t>
        </is>
      </c>
      <c r="E1" s="1" t="inlineStr">
        <is>
          <t>CPUs lógicas</t>
        </is>
      </c>
      <c r="F1" s="1" t="inlineStr">
        <is>
          <t>Acción 1</t>
        </is>
      </c>
      <c r="G1" s="1" t="inlineStr">
        <is>
          <t>CPU medida 1</t>
        </is>
      </c>
      <c r="H1" s="1" t="inlineStr">
        <is>
          <t>Acción 2</t>
        </is>
      </c>
      <c r="I1" s="1" t="inlineStr">
        <is>
          <t>CPU medida 2</t>
        </is>
      </c>
      <c r="J1" s="1" t="inlineStr">
        <is>
          <t>CPU normalizada 1</t>
        </is>
      </c>
      <c r="K1" s="1" t="inlineStr">
        <is>
          <t>CPU normalizada 2</t>
        </is>
      </c>
      <c r="L1" s="1" t="inlineStr">
        <is>
          <t>CPU promedio normalizada</t>
        </is>
      </c>
      <c r="M1" s="1" t="inlineStr">
        <is>
          <t>CPU máxima normalizada</t>
        </is>
      </c>
      <c r="N1" s="1" t="inlineStr">
        <is>
          <t>Nivel CPU</t>
        </is>
      </c>
      <c r="O1" s="1" t="inlineStr">
        <is>
          <t>Interpretación CPU</t>
        </is>
      </c>
      <c r="P1" s="1" t="inlineStr">
        <is>
          <t>Memoria Acc1 (MB)</t>
        </is>
      </c>
      <c r="Q1" s="1" t="inlineStr">
        <is>
          <t>Memoria Acc2 (MB)</t>
        </is>
      </c>
      <c r="R1" s="1" t="inlineStr">
        <is>
          <t>Memoria de total (MB)</t>
        </is>
      </c>
      <c r="S1" s="1" t="inlineStr">
        <is>
          <t>Memoria promedio (MB)</t>
        </is>
      </c>
      <c r="T1" s="1" t="inlineStr">
        <is>
          <t>Memoria normalizada promedio (%)</t>
        </is>
      </c>
      <c r="U1" s="1" t="inlineStr">
        <is>
          <t>Memoria máxima (MB)</t>
        </is>
      </c>
      <c r="V1" s="1" t="inlineStr">
        <is>
          <t>Nivel memoria</t>
        </is>
      </c>
      <c r="W1" s="1" t="inlineStr">
        <is>
          <t>Interpretación memoria</t>
        </is>
      </c>
    </row>
    <row r="2">
      <c r="A2" t="inlineStr">
        <is>
          <t>L1-1C2026-AND-M</t>
        </is>
      </c>
      <c r="B2" t="inlineStr">
        <is>
          <t>Java</t>
        </is>
      </c>
      <c r="C2" t="inlineStr">
        <is>
          <t>Otro</t>
        </is>
      </c>
      <c r="D2" t="inlineStr">
        <is>
          <t>100%=1 núcleo</t>
        </is>
      </c>
      <c r="E2" t="n">
        <v>8</v>
      </c>
      <c r="F2" t="inlineStr">
        <is>
          <t>Simple</t>
        </is>
      </c>
      <c r="G2" s="28" t="n">
        <v>1</v>
      </c>
      <c r="H2" t="inlineStr">
        <is>
          <t>Shake</t>
        </is>
      </c>
      <c r="I2" s="28" t="n">
        <v>1</v>
      </c>
      <c r="J2" s="28" t="n">
        <v>0.125</v>
      </c>
      <c r="K2" s="28" t="n">
        <v>0.125</v>
      </c>
      <c r="L2" s="28" t="n">
        <v>0.125</v>
      </c>
      <c r="M2" s="28" t="n">
        <v>0.125</v>
      </c>
      <c r="N2" t="inlineStr">
        <is>
          <t>Bajo</t>
        </is>
      </c>
      <c r="O2" t="inlineStr">
        <is>
          <t>Consumo bajo de CPU</t>
        </is>
      </c>
      <c r="P2" s="29" t="n">
        <v>103</v>
      </c>
      <c r="Q2" s="29" t="n">
        <v>111</v>
      </c>
      <c r="R2" s="29" t="n">
        <v>7792</v>
      </c>
      <c r="S2" s="29" t="n">
        <v>107</v>
      </c>
      <c r="T2" s="28" t="n">
        <v>1.373203285420945</v>
      </c>
      <c r="U2" s="29" t="n">
        <v>111</v>
      </c>
      <c r="V2" t="inlineStr">
        <is>
          <t>Bajo</t>
        </is>
      </c>
      <c r="W2" t="inlineStr">
        <is>
          <t>Consumo bajo de CPU</t>
        </is>
      </c>
    </row>
    <row r="3">
      <c r="A3" t="inlineStr">
        <is>
          <t>L1-1C2026-AND-V</t>
        </is>
      </c>
      <c r="B3" t="inlineStr">
        <is>
          <t>Java</t>
        </is>
      </c>
      <c r="C3" t="inlineStr">
        <is>
          <t>Otro</t>
        </is>
      </c>
      <c r="D3" t="inlineStr">
        <is>
          <t>100%=1 núcleo</t>
        </is>
      </c>
      <c r="E3" t="n">
        <v>8</v>
      </c>
      <c r="F3" t="inlineStr">
        <is>
          <t>Simple</t>
        </is>
      </c>
      <c r="G3" s="28" t="n">
        <v>1</v>
      </c>
      <c r="H3" t="inlineStr">
        <is>
          <t>Shake</t>
        </is>
      </c>
      <c r="I3" s="28" t="n">
        <v>1</v>
      </c>
      <c r="J3" s="28" t="n">
        <v>0.125</v>
      </c>
      <c r="K3" s="28" t="n">
        <v>0.125</v>
      </c>
      <c r="L3" s="28" t="n">
        <v>0.125</v>
      </c>
      <c r="M3" s="28" t="n">
        <v>0.125</v>
      </c>
      <c r="N3" t="inlineStr">
        <is>
          <t>Bajo</t>
        </is>
      </c>
      <c r="O3" t="inlineStr">
        <is>
          <t>Consumo bajo de CPU</t>
        </is>
      </c>
      <c r="P3" s="29" t="n">
        <v>104</v>
      </c>
      <c r="Q3" s="29" t="n">
        <v>123</v>
      </c>
      <c r="R3" s="29" t="n">
        <v>7792</v>
      </c>
      <c r="S3" s="29" t="n">
        <v>113.5</v>
      </c>
      <c r="T3" s="28" t="n">
        <v>1.456622176591376</v>
      </c>
      <c r="U3" s="29" t="n">
        <v>123</v>
      </c>
      <c r="V3" t="inlineStr">
        <is>
          <t>Bajo</t>
        </is>
      </c>
      <c r="W3" t="inlineStr">
        <is>
          <t>Consumo bajo de CPU</t>
        </is>
      </c>
    </row>
    <row r="4">
      <c r="A4" t="inlineStr">
        <is>
          <t>L2-1C2026-AND-M</t>
        </is>
      </c>
      <c r="B4" t="inlineStr">
        <is>
          <t>Java</t>
        </is>
      </c>
      <c r="C4" t="inlineStr">
        <is>
          <t>Otro</t>
        </is>
      </c>
      <c r="D4" t="inlineStr">
        <is>
          <t>100%=1 núcleo</t>
        </is>
      </c>
      <c r="E4" t="n">
        <v>8</v>
      </c>
      <c r="F4" t="inlineStr">
        <is>
          <t>Simple</t>
        </is>
      </c>
      <c r="G4" s="28" t="n">
        <v>0.8999999999999999</v>
      </c>
      <c r="H4" t="inlineStr">
        <is>
          <t>leyendo GPS</t>
        </is>
      </c>
      <c r="I4" s="28" t="n">
        <v>27</v>
      </c>
      <c r="J4" s="28" t="n">
        <v>0.1125</v>
      </c>
      <c r="K4" s="28" t="n">
        <v>3.375</v>
      </c>
      <c r="L4" s="28" t="n">
        <v>1.74375</v>
      </c>
      <c r="M4" s="28" t="n">
        <v>3.375</v>
      </c>
      <c r="N4" t="inlineStr">
        <is>
          <t>Bajo</t>
        </is>
      </c>
      <c r="O4" t="inlineStr">
        <is>
          <t>Consumo bajo de CPU</t>
        </is>
      </c>
      <c r="P4" s="29" t="n">
        <v>92</v>
      </c>
      <c r="Q4" s="29" t="n">
        <v>116</v>
      </c>
      <c r="R4" s="29" t="n">
        <v>1114</v>
      </c>
      <c r="S4" s="29" t="n">
        <v>104</v>
      </c>
      <c r="T4" s="28" t="n">
        <v>9.335727109515259</v>
      </c>
      <c r="U4" s="29" t="n">
        <v>116</v>
      </c>
      <c r="V4" t="inlineStr">
        <is>
          <t>Bajo</t>
        </is>
      </c>
      <c r="W4" t="inlineStr">
        <is>
          <t>Consumo bajo de CPU</t>
        </is>
      </c>
    </row>
    <row r="5">
      <c r="A5" t="inlineStr">
        <is>
          <t>L2-1C2026-AND-V</t>
        </is>
      </c>
      <c r="B5" t="inlineStr">
        <is>
          <t>Kotlin</t>
        </is>
      </c>
      <c r="C5" t="inlineStr">
        <is>
          <t>Otro</t>
        </is>
      </c>
      <c r="D5" t="inlineStr">
        <is>
          <t>100%=1 núcleo</t>
        </is>
      </c>
      <c r="E5" t="n">
        <v>8</v>
      </c>
      <c r="F5" t="inlineStr">
        <is>
          <t>Simple</t>
        </is>
      </c>
      <c r="G5" s="28" t="n">
        <v>2.4</v>
      </c>
      <c r="H5" t="inlineStr">
        <is>
          <t>leyendo GPS</t>
        </is>
      </c>
      <c r="I5" s="28" t="n">
        <v>18</v>
      </c>
      <c r="J5" s="28" t="n">
        <v>0.3</v>
      </c>
      <c r="K5" s="28" t="n">
        <v>2.25</v>
      </c>
      <c r="L5" s="28" t="n">
        <v>1.275</v>
      </c>
      <c r="M5" s="28" t="n">
        <v>2.25</v>
      </c>
      <c r="N5" t="inlineStr">
        <is>
          <t>Bajo</t>
        </is>
      </c>
      <c r="O5" t="inlineStr">
        <is>
          <t>Consumo bajo de CPU</t>
        </is>
      </c>
      <c r="P5" s="29" t="n">
        <v>181</v>
      </c>
      <c r="Q5" s="29" t="n">
        <v>185</v>
      </c>
      <c r="R5" s="29" t="n">
        <v>1114</v>
      </c>
      <c r="S5" s="29" t="n">
        <v>183</v>
      </c>
      <c r="T5" s="28" t="n">
        <v>16.42728904847397</v>
      </c>
      <c r="U5" s="29" t="n">
        <v>185</v>
      </c>
      <c r="V5" t="inlineStr">
        <is>
          <t>Bajo</t>
        </is>
      </c>
      <c r="W5" t="inlineStr">
        <is>
          <t>Consumo bajo de 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2026-10-22T16:01:43Z</dcterms:created>
  <dcterms:modified xsi:type="dcterms:W3CDTF">2026-10-22T16:01:56Z</dcterms:modified>
</cp:coreProperties>
</file>