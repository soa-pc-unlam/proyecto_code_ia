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"/>
    </mc:Choice>
  </mc:AlternateContent>
  <xr:revisionPtr revIDLastSave="0" documentId="13_ncr:1_{3BBBCC7F-BA50-4581-801B-95FF05748113}" xr6:coauthVersionLast="47" xr6:coauthVersionMax="47" xr10:uidLastSave="{00000000-0000-0000-0000-000000000000}"/>
  <bookViews>
    <workbookView xWindow="-110" yWindow="-110" windowWidth="19420" windowHeight="10420" firstSheet="3" activeTab="9" xr2:uid="{00000000-000D-0000-FFFF-FFFF00000000}"/>
  </bookViews>
  <sheets>
    <sheet name="Resumen" sheetId="1" r:id="rId1"/>
    <sheet name="Comparacion" sheetId="2" r:id="rId2"/>
    <sheet name="Complejidad" sheetId="3" r:id="rId3"/>
    <sheet name="Mantenibilidad" sheetId="4" r:id="rId4"/>
    <sheet name="Bugs_Smells" sheetId="5" r:id="rId5"/>
    <sheet name="Errores" sheetId="6" r:id="rId6"/>
    <sheet name="Concurrencia" sheetId="7" r:id="rId7"/>
    <sheet name="Tokens" sheetId="8" r:id="rId8"/>
    <sheet name="CPU-Memoria" sheetId="9" r:id="rId9"/>
    <sheet name="Graficos" sheetId="10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2" l="1"/>
  <c r="C27" i="2" s="1"/>
  <c r="B6" i="2"/>
  <c r="B28" i="2" s="1"/>
  <c r="C28" i="2" l="1"/>
  <c r="B23" i="2"/>
  <c r="C12" i="2"/>
  <c r="C18" i="2"/>
  <c r="C24" i="2"/>
  <c r="C10" i="2"/>
  <c r="C16" i="2"/>
  <c r="C22" i="2"/>
  <c r="B11" i="2"/>
  <c r="B17" i="2"/>
  <c r="C11" i="2"/>
  <c r="C17" i="2"/>
  <c r="C23" i="2"/>
  <c r="B18" i="2"/>
  <c r="B7" i="2"/>
  <c r="B19" i="2"/>
  <c r="C7" i="2"/>
  <c r="C13" i="2"/>
  <c r="C19" i="2"/>
  <c r="C25" i="2"/>
  <c r="B8" i="2"/>
  <c r="B14" i="2"/>
  <c r="B20" i="2"/>
  <c r="B26" i="2"/>
  <c r="C8" i="2"/>
  <c r="C14" i="2"/>
  <c r="C20" i="2"/>
  <c r="C26" i="2"/>
  <c r="B12" i="2"/>
  <c r="B24" i="2"/>
  <c r="B13" i="2"/>
  <c r="B25" i="2"/>
  <c r="B9" i="2"/>
  <c r="B15" i="2"/>
  <c r="B21" i="2"/>
  <c r="B27" i="2"/>
  <c r="C9" i="2"/>
  <c r="C15" i="2"/>
  <c r="C21" i="2"/>
  <c r="B10" i="2"/>
  <c r="B16" i="2"/>
  <c r="B22" i="2"/>
</calcChain>
</file>

<file path=xl/sharedStrings.xml><?xml version="1.0" encoding="utf-8"?>
<sst xmlns="http://schemas.openxmlformats.org/spreadsheetml/2006/main" count="300" uniqueCount="125">
  <si>
    <t>Código</t>
  </si>
  <si>
    <t>Nombre del proyecto</t>
  </si>
  <si>
    <t>ID proyecto</t>
  </si>
  <si>
    <t>Dispositivo</t>
  </si>
  <si>
    <t>Implementación</t>
  </si>
  <si>
    <t>Herramienta IA</t>
  </si>
  <si>
    <t>Modelo IA</t>
  </si>
  <si>
    <t>Lenguaje</t>
  </si>
  <si>
    <t>CCN promedio</t>
  </si>
  <si>
    <t>Nivel de CC</t>
  </si>
  <si>
    <t>MI</t>
  </si>
  <si>
    <t>Nivel de MI</t>
  </si>
  <si>
    <t>Issues/KLOC</t>
  </si>
  <si>
    <t>ISI</t>
  </si>
  <si>
    <t>Interpretación de Issue</t>
  </si>
  <si>
    <t>Promedio concurrencia</t>
  </si>
  <si>
    <t>Interpretación concurrencia</t>
  </si>
  <si>
    <t>Eficiencia de generación</t>
  </si>
  <si>
    <t>Interpretación tokens</t>
  </si>
  <si>
    <t>% CPU promedio</t>
  </si>
  <si>
    <t>Interpretación CPU</t>
  </si>
  <si>
    <t>% Memoria promedio</t>
  </si>
  <si>
    <t>Interpretación memoria</t>
  </si>
  <si>
    <t>L1-1C2026-AND-M</t>
  </si>
  <si>
    <t>Smart Mirror</t>
  </si>
  <si>
    <t>L1-1C2026</t>
  </si>
  <si>
    <t>Android</t>
  </si>
  <si>
    <t>Manual</t>
  </si>
  <si>
    <t>No aplica</t>
  </si>
  <si>
    <t>Java</t>
  </si>
  <si>
    <t>Bajo</t>
  </si>
  <si>
    <t>Buena</t>
  </si>
  <si>
    <t>Predominan issues medios</t>
  </si>
  <si>
    <t>Sin datos</t>
  </si>
  <si>
    <t>Consumo bajo de CPU</t>
  </si>
  <si>
    <t>L1-1C2026-AND-V</t>
  </si>
  <si>
    <t>Vibecoding</t>
  </si>
  <si>
    <t>ClaudeCode</t>
  </si>
  <si>
    <t>Claude Sonnet 5</t>
  </si>
  <si>
    <t>Presencia de issues altos</t>
  </si>
  <si>
    <t>Hay aspectos que requieren observación</t>
  </si>
  <si>
    <t>Alto NLOC/token, ajustada por refinamientos.</t>
  </si>
  <si>
    <t>L2-1C2026-AND-M</t>
  </si>
  <si>
    <t>Sistema de Atención al Volante</t>
  </si>
  <si>
    <t>L2-1C2026</t>
  </si>
  <si>
    <t>L2-1C2026-AND-V</t>
  </si>
  <si>
    <t>Gemini</t>
  </si>
  <si>
    <t>Gemini Pro</t>
  </si>
  <si>
    <t>Kotlin</t>
  </si>
  <si>
    <t>Muy buen uso de concurrencia</t>
  </si>
  <si>
    <t>Bajo NLOC/token, ajustada por refinamientos.</t>
  </si>
  <si>
    <t>COMPARACIÓN · MANUAL / VIBECODING</t>
  </si>
  <si>
    <t>Seleccioná un ID para comparar ambas implementaciones</t>
  </si>
  <si>
    <t>Campo</t>
  </si>
  <si>
    <t>Cantidad de funciones</t>
  </si>
  <si>
    <t>CCN Total</t>
  </si>
  <si>
    <t>NLOC total</t>
  </si>
  <si>
    <t>Interpretación CC</t>
  </si>
  <si>
    <t>NLOC promedio</t>
  </si>
  <si>
    <t>Testeabilidad alta</t>
  </si>
  <si>
    <t>NLOC MI</t>
  </si>
  <si>
    <t>Cantidad de funciones MI</t>
  </si>
  <si>
    <t>Tokens código</t>
  </si>
  <si>
    <t>Interpretación MI</t>
  </si>
  <si>
    <t>Buena mantenibilidad</t>
  </si>
  <si>
    <t>Analizador</t>
  </si>
  <si>
    <t>Total de issues</t>
  </si>
  <si>
    <t>Nivel de ISI</t>
  </si>
  <si>
    <t>Interpretación de ISI</t>
  </si>
  <si>
    <t>Observacion</t>
  </si>
  <si>
    <t>Cant. severidad alta</t>
  </si>
  <si>
    <t>Cant. severidad media</t>
  </si>
  <si>
    <t>Cant. severidad baja</t>
  </si>
  <si>
    <t>Reglas incumplidas</t>
  </si>
  <si>
    <t>PMD</t>
  </si>
  <si>
    <t>Moderado</t>
  </si>
  <si>
    <t>Contiene issues medios</t>
  </si>
  <si>
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</si>
  <si>
    <t>Alto</t>
  </si>
  <si>
    <t>Contiene issues altos</t>
  </si>
  <si>
    <t>UncommentedEmptyMethodBody: 6; ClassWithOnlyPrivateConstructorsShouldBeFinal: 2; LooseCoupling: 1</t>
  </si>
  <si>
    <t>ControlStatementBraces: 2; UselessQualifiedThis: 1; MethodNamingConventions: 1</t>
  </si>
  <si>
    <t>Detekt</t>
  </si>
  <si>
    <t>detekt.MagicNumber: 29; detekt.WildcardImport: 16; detekt.FunctionNaming: 13; detekt.MaxLineLength: 3; detekt.LongMethod: 2; detekt.TooGenericExceptionCaught: 2; detekt.SwallowedException: 1; detekt.ReturnCount: 1</t>
  </si>
  <si>
    <t>Error</t>
  </si>
  <si>
    <t>Sincronización correcta</t>
  </si>
  <si>
    <t>Ausencia de deadlocks</t>
  </si>
  <si>
    <t>Ausencia de condición de carrera</t>
  </si>
  <si>
    <t>Uso correcto de exclusión mutua</t>
  </si>
  <si>
    <t>Media</t>
  </si>
  <si>
    <t>Alta</t>
  </si>
  <si>
    <t>Método utilizado</t>
  </si>
  <si>
    <t>NlocTotal</t>
  </si>
  <si>
    <t>Refinamientos</t>
  </si>
  <si>
    <t>Tokens registrados</t>
  </si>
  <si>
    <t>Eficiencia de generación (NLOC/1000 tokens)</t>
  </si>
  <si>
    <t>Eficiencia ponderada</t>
  </si>
  <si>
    <t>Nivel de eficiencia</t>
  </si>
  <si>
    <t>Interpretación</t>
  </si>
  <si>
    <t>herramienta modelo</t>
  </si>
  <si>
    <t>Context Windows</t>
  </si>
  <si>
    <t>Método medición</t>
  </si>
  <si>
    <t>Modo CPU</t>
  </si>
  <si>
    <t>CPUs lógicas</t>
  </si>
  <si>
    <t>Acción 1</t>
  </si>
  <si>
    <t>CPU medida 1</t>
  </si>
  <si>
    <t>Acción 2</t>
  </si>
  <si>
    <t>CPU medida 2</t>
  </si>
  <si>
    <t>CPU normalizada 1</t>
  </si>
  <si>
    <t>CPU normalizada 2</t>
  </si>
  <si>
    <t>CPU promedio normalizada</t>
  </si>
  <si>
    <t>CPU máxima normalizada</t>
  </si>
  <si>
    <t>Nivel CPU</t>
  </si>
  <si>
    <t>Memoria Acc1 (MB)</t>
  </si>
  <si>
    <t>Memoria Acc2 (MB)</t>
  </si>
  <si>
    <t>Memoria de total (MB)</t>
  </si>
  <si>
    <t>Memoria promedio (MB)</t>
  </si>
  <si>
    <t>Memoria normalizada promedio (%)</t>
  </si>
  <si>
    <t>Memoria máxima (MB)</t>
  </si>
  <si>
    <t>Nivel memoria</t>
  </si>
  <si>
    <t>Otro</t>
  </si>
  <si>
    <t>100%=1 núcleo</t>
  </si>
  <si>
    <t>Simple</t>
  </si>
  <si>
    <t>Shake</t>
  </si>
  <si>
    <t>leyendo GPS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</si>
</sst>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%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11"/>
      <color rgb="FF000000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76933C"/>
      </patternFill>
    </fill>
    <fill>
      <patternFill patternType="solid">
        <fgColor rgb="FFC4D79B"/>
      </patternFill>
    </fill>
    <fill>
      <patternFill patternType="solid">
        <fgColor rgb="FF95B3D7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EF4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E2F3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6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1" fillId="0" borderId="0" xfId="0" applyFont="1"/>
    <xf numFmtId="0" fontId="1" fillId="5" borderId="0" xfId="0" applyFont="1" applyFill="1"/>
    <xf numFmtId="0" fontId="2" fillId="0" borderId="0" xfId="0" applyFont="1"/>
    <xf numFmtId="0" fontId="2" fillId="5" borderId="0" xfId="0" applyFont="1" applyFill="1"/>
    <xf numFmtId="164" fontId="1" fillId="0" borderId="0" xfId="0" applyNumberFormat="1" applyFont="1"/>
    <xf numFmtId="0" fontId="3" fillId="0" borderId="0" xfId="0" applyFont="1"/>
    <xf numFmtId="0" fontId="5" fillId="2" borderId="0" xfId="0" applyFont="1" applyFill="1" applyAlignment="1">
      <alignment horizontal="center"/>
    </xf>
    <xf numFmtId="0" fontId="5" fillId="8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64" fontId="0" fillId="0" borderId="0" xfId="0" applyNumberFormat="1"/>
    <xf numFmtId="2" fontId="0" fillId="0" borderId="0" xfId="0" applyNumberFormat="1"/>
    <xf numFmtId="0" fontId="4" fillId="7" borderId="0" xfId="0" applyFont="1" applyFill="1" applyAlignment="1">
      <alignment vertical="center"/>
    </xf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b/>
        <color rgb="FF008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CCN promedio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Resumen!$I$1</c:f>
              <c:strCache>
                <c:ptCount val="1"/>
                <c:pt idx="0">
                  <c:v>CCN promedio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Resumen!$I$2:$I$5</c:f>
              <c:numCache>
                <c:formatCode>General</c:formatCode>
                <c:ptCount val="4"/>
                <c:pt idx="0">
                  <c:v>1.88</c:v>
                </c:pt>
                <c:pt idx="1">
                  <c:v>1.82</c:v>
                </c:pt>
                <c:pt idx="2">
                  <c:v>3.07</c:v>
                </c:pt>
                <c:pt idx="3">
                  <c:v>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D-4A5B-84EC-4CCDA41C7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CCN promedio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NLOC total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Complejidad!$E$1</c:f>
              <c:strCache>
                <c:ptCount val="1"/>
                <c:pt idx="0">
                  <c:v>NLOC 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Complejidad!$A$2:$A$5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Complejidad!$E$2:$E$5</c:f>
              <c:numCache>
                <c:formatCode>General</c:formatCode>
                <c:ptCount val="4"/>
                <c:pt idx="0">
                  <c:v>456</c:v>
                </c:pt>
                <c:pt idx="1">
                  <c:v>571</c:v>
                </c:pt>
                <c:pt idx="2">
                  <c:v>434</c:v>
                </c:pt>
                <c:pt idx="3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22-4E43-94CB-8121D365E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NLOC total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MI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Resumen!$K$1</c:f>
              <c:strCache>
                <c:ptCount val="1"/>
                <c:pt idx="0">
                  <c:v>MI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Resumen!$K$2:$K$5</c:f>
              <c:numCache>
                <c:formatCode>General</c:formatCode>
                <c:ptCount val="4"/>
                <c:pt idx="0">
                  <c:v>53.1</c:v>
                </c:pt>
                <c:pt idx="1">
                  <c:v>50.98</c:v>
                </c:pt>
                <c:pt idx="2">
                  <c:v>57.08</c:v>
                </c:pt>
                <c:pt idx="3">
                  <c:v>53.99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A1-4F37-B4A4-94FA99140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Índice de mantenibilidad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ISI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Resumen!$N$1</c:f>
              <c:strCache>
                <c:ptCount val="1"/>
                <c:pt idx="0">
                  <c:v>ISI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Resumen!$N$2:$N$5</c:f>
              <c:numCache>
                <c:formatCode>General</c:formatCode>
                <c:ptCount val="4"/>
                <c:pt idx="0">
                  <c:v>2.0299999999999998</c:v>
                </c:pt>
                <c:pt idx="1">
                  <c:v>2.67</c:v>
                </c:pt>
                <c:pt idx="2">
                  <c:v>2.75</c:v>
                </c:pt>
                <c:pt idx="3">
                  <c:v>1.75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4F-47E1-9D4D-AED839FE1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Índice de severidad de issues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Promedio de concurrencia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Resumen!$P$1</c:f>
              <c:strCache>
                <c:ptCount val="1"/>
                <c:pt idx="0">
                  <c:v>Promedio concurrencia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Resumen!$P$2:$P$5</c:f>
              <c:numCache>
                <c:formatCode>General</c:formatCode>
                <c:ptCount val="4"/>
                <c:pt idx="0">
                  <c:v>0</c:v>
                </c:pt>
                <c:pt idx="1">
                  <c:v>2.75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21-41E0-990B-F3D725F10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Promedio concurrencia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Eficiencia de generación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Resumen!$R$1</c:f>
              <c:strCache>
                <c:ptCount val="1"/>
                <c:pt idx="0">
                  <c:v>Eficiencia de generación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Resumen!$R$2:$R$5</c:f>
              <c:numCache>
                <c:formatCode>General</c:formatCode>
                <c:ptCount val="4"/>
                <c:pt idx="0">
                  <c:v>0</c:v>
                </c:pt>
                <c:pt idx="1">
                  <c:v>109.15</c:v>
                </c:pt>
                <c:pt idx="2">
                  <c:v>0</c:v>
                </c:pt>
                <c:pt idx="3">
                  <c:v>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8-4E2E-9CB2-A423D5F6A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Eficiencia de generación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% Uso CPU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Resumen!$T$1</c:f>
              <c:strCache>
                <c:ptCount val="1"/>
                <c:pt idx="0">
                  <c:v>% CPU promedio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Resumen!$T$2:$T$5</c:f>
              <c:numCache>
                <c:formatCode>0.00\%</c:formatCode>
                <c:ptCount val="4"/>
                <c:pt idx="0">
                  <c:v>0.125</c:v>
                </c:pt>
                <c:pt idx="1">
                  <c:v>0.125</c:v>
                </c:pt>
                <c:pt idx="2">
                  <c:v>1.7437499999999999</c:v>
                </c:pt>
                <c:pt idx="3">
                  <c:v>1.2749999999999999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8-4428-8F1F-DEE31C29E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Uso CPU</a:t>
                </a:r>
              </a:p>
            </c:rich>
          </c:tx>
          <c:overlay val="1"/>
        </c:title>
        <c:numFmt formatCode="0.00\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% Uso Memoria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Resumen!$V$1</c:f>
              <c:strCache>
                <c:ptCount val="1"/>
                <c:pt idx="0">
                  <c:v>% Memoria promedio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L1-1C2026-AND-M</c:v>
                </c:pt>
                <c:pt idx="1">
                  <c:v>L1-1C2026-AND-V</c:v>
                </c:pt>
                <c:pt idx="2">
                  <c:v>L2-1C2026-AND-M</c:v>
                </c:pt>
                <c:pt idx="3">
                  <c:v>L2-1C2026-AND-V</c:v>
                </c:pt>
              </c:strCache>
            </c:strRef>
          </c:cat>
          <c:val>
            <c:numRef>
              <c:f>Resumen!$V$2:$V$5</c:f>
              <c:numCache>
                <c:formatCode>0.00\%</c:formatCode>
                <c:ptCount val="4"/>
                <c:pt idx="0">
                  <c:v>1.3732032854209451</c:v>
                </c:pt>
                <c:pt idx="1">
                  <c:v>1.456622176591376</c:v>
                </c:pt>
                <c:pt idx="2">
                  <c:v>9.3357271095152594</c:v>
                </c:pt>
                <c:pt idx="3">
                  <c:v>16.42728904847397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0-4FCD-9EF2-37493AB1F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Uso Memoria</a:t>
                </a:r>
              </a:p>
            </c:rich>
          </c:tx>
          <c:overlay val="1"/>
        </c:title>
        <c:numFmt formatCode="0.00\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18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37</xdr:row>
      <xdr:rowOff>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56</xdr:row>
      <xdr:rowOff>0</xdr:rowOff>
    </xdr:from>
    <xdr:ext cx="540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75</xdr:row>
      <xdr:rowOff>0</xdr:rowOff>
    </xdr:from>
    <xdr:ext cx="540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94</xdr:row>
      <xdr:rowOff>0</xdr:rowOff>
    </xdr:from>
    <xdr:ext cx="5400000" cy="27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113</xdr:row>
      <xdr:rowOff>0</xdr:rowOff>
    </xdr:from>
    <xdr:ext cx="5400000" cy="27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0</xdr:col>
      <xdr:colOff>0</xdr:colOff>
      <xdr:row>132</xdr:row>
      <xdr:rowOff>0</xdr:rowOff>
    </xdr:from>
    <xdr:ext cx="5400000" cy="27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"/>
  <sheetViews>
    <sheetView workbookViewId="0"/>
  </sheetViews>
  <sheetFormatPr baseColWidth="10" defaultColWidth="8.7265625" defaultRowHeight="14.5" x14ac:dyDescent="0.35"/>
  <cols>
    <col min="1" max="1" width="18" customWidth="1"/>
    <col min="2" max="2" width="33" customWidth="1"/>
    <col min="3" max="4" width="14" customWidth="1"/>
    <col min="5" max="6" width="17" customWidth="1"/>
    <col min="7" max="7" width="18" customWidth="1"/>
    <col min="8" max="8" width="11" customWidth="1"/>
    <col min="9" max="9" width="15" customWidth="1"/>
    <col min="10" max="10" width="14" customWidth="1"/>
    <col min="11" max="11" width="8" customWidth="1"/>
    <col min="12" max="13" width="14" customWidth="1"/>
    <col min="14" max="14" width="7" customWidth="1"/>
    <col min="15" max="15" width="28" customWidth="1"/>
    <col min="16" max="16" width="24" customWidth="1"/>
    <col min="17" max="17" width="41" customWidth="1"/>
    <col min="18" max="18" width="27" customWidth="1"/>
    <col min="19" max="19" width="45" customWidth="1"/>
    <col min="20" max="20" width="17" customWidth="1"/>
    <col min="21" max="21" width="22" customWidth="1"/>
    <col min="22" max="22" width="21" customWidth="1"/>
    <col min="23" max="23" width="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5">
      <c r="A2" s="2" t="s">
        <v>23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28</v>
      </c>
      <c r="H2" s="3" t="s">
        <v>29</v>
      </c>
      <c r="I2" s="4">
        <v>1.88</v>
      </c>
      <c r="J2" s="5" t="s">
        <v>30</v>
      </c>
      <c r="K2" s="4">
        <v>53.1</v>
      </c>
      <c r="L2" s="5" t="s">
        <v>31</v>
      </c>
      <c r="M2" s="4">
        <v>65.790000000000006</v>
      </c>
      <c r="N2" s="4">
        <v>2.0299999999999998</v>
      </c>
      <c r="O2" s="5" t="s">
        <v>32</v>
      </c>
      <c r="P2" s="6" t="s">
        <v>33</v>
      </c>
      <c r="Q2" s="7" t="s">
        <v>33</v>
      </c>
      <c r="R2" s="6" t="s">
        <v>33</v>
      </c>
      <c r="S2" s="7" t="s">
        <v>33</v>
      </c>
      <c r="T2" s="8">
        <v>0.125</v>
      </c>
      <c r="U2" s="5" t="s">
        <v>34</v>
      </c>
      <c r="V2" s="8">
        <v>1.3732032854209451</v>
      </c>
      <c r="W2" s="5" t="s">
        <v>34</v>
      </c>
    </row>
    <row r="3" spans="1:23" x14ac:dyDescent="0.35">
      <c r="A3" s="2" t="s">
        <v>35</v>
      </c>
      <c r="B3" s="3" t="s">
        <v>24</v>
      </c>
      <c r="C3" s="3" t="s">
        <v>25</v>
      </c>
      <c r="D3" s="3" t="s">
        <v>26</v>
      </c>
      <c r="E3" s="3" t="s">
        <v>36</v>
      </c>
      <c r="F3" s="3" t="s">
        <v>37</v>
      </c>
      <c r="G3" s="3" t="s">
        <v>38</v>
      </c>
      <c r="H3" s="3" t="s">
        <v>29</v>
      </c>
      <c r="I3" s="4">
        <v>1.82</v>
      </c>
      <c r="J3" s="5" t="s">
        <v>30</v>
      </c>
      <c r="K3" s="4">
        <v>50.98</v>
      </c>
      <c r="L3" s="5" t="s">
        <v>31</v>
      </c>
      <c r="M3" s="4">
        <v>15.76</v>
      </c>
      <c r="N3" s="4">
        <v>2.67</v>
      </c>
      <c r="O3" s="5" t="s">
        <v>39</v>
      </c>
      <c r="P3" s="4">
        <v>2.75</v>
      </c>
      <c r="Q3" s="5" t="s">
        <v>40</v>
      </c>
      <c r="R3" s="4">
        <v>109.15</v>
      </c>
      <c r="S3" s="5" t="s">
        <v>41</v>
      </c>
      <c r="T3" s="8">
        <v>0.125</v>
      </c>
      <c r="U3" s="5" t="s">
        <v>34</v>
      </c>
      <c r="V3" s="8">
        <v>1.456622176591376</v>
      </c>
      <c r="W3" s="5" t="s">
        <v>34</v>
      </c>
    </row>
    <row r="4" spans="1:23" x14ac:dyDescent="0.35">
      <c r="A4" s="2" t="s">
        <v>42</v>
      </c>
      <c r="B4" s="3" t="s">
        <v>43</v>
      </c>
      <c r="C4" s="3" t="s">
        <v>44</v>
      </c>
      <c r="D4" s="3" t="s">
        <v>26</v>
      </c>
      <c r="E4" s="3" t="s">
        <v>27</v>
      </c>
      <c r="F4" s="3" t="s">
        <v>28</v>
      </c>
      <c r="G4" s="3" t="s">
        <v>28</v>
      </c>
      <c r="H4" s="3" t="s">
        <v>29</v>
      </c>
      <c r="I4" s="4">
        <v>3.07</v>
      </c>
      <c r="J4" s="5" t="s">
        <v>30</v>
      </c>
      <c r="K4" s="4">
        <v>57.08</v>
      </c>
      <c r="L4" s="5" t="s">
        <v>31</v>
      </c>
      <c r="M4" s="4">
        <v>9.2200000000000006</v>
      </c>
      <c r="N4" s="4">
        <v>2.75</v>
      </c>
      <c r="O4" s="5" t="s">
        <v>39</v>
      </c>
      <c r="P4" s="6" t="s">
        <v>33</v>
      </c>
      <c r="Q4" s="7" t="s">
        <v>33</v>
      </c>
      <c r="R4" s="6" t="s">
        <v>33</v>
      </c>
      <c r="S4" s="7" t="s">
        <v>33</v>
      </c>
      <c r="T4" s="8">
        <v>1.7437499999999999</v>
      </c>
      <c r="U4" s="5" t="s">
        <v>34</v>
      </c>
      <c r="V4" s="8">
        <v>9.3357271095152594</v>
      </c>
      <c r="W4" s="5" t="s">
        <v>34</v>
      </c>
    </row>
    <row r="5" spans="1:23" x14ac:dyDescent="0.35">
      <c r="A5" s="2" t="s">
        <v>45</v>
      </c>
      <c r="B5" s="3" t="s">
        <v>43</v>
      </c>
      <c r="C5" s="3" t="s">
        <v>44</v>
      </c>
      <c r="D5" s="3" t="s">
        <v>26</v>
      </c>
      <c r="E5" s="3" t="s">
        <v>36</v>
      </c>
      <c r="F5" s="3" t="s">
        <v>46</v>
      </c>
      <c r="G5" s="3" t="s">
        <v>47</v>
      </c>
      <c r="H5" s="3" t="s">
        <v>48</v>
      </c>
      <c r="I5" s="4">
        <v>1.63</v>
      </c>
      <c r="J5" s="5" t="s">
        <v>30</v>
      </c>
      <c r="K5" s="4">
        <v>53.99</v>
      </c>
      <c r="L5" s="5" t="s">
        <v>31</v>
      </c>
      <c r="M5" s="4">
        <v>104.69</v>
      </c>
      <c r="N5" s="4">
        <v>1.75</v>
      </c>
      <c r="O5" s="5" t="s">
        <v>32</v>
      </c>
      <c r="P5" s="4">
        <v>3</v>
      </c>
      <c r="Q5" s="5" t="s">
        <v>49</v>
      </c>
      <c r="R5" s="4">
        <v>4.96</v>
      </c>
      <c r="S5" s="5" t="s">
        <v>50</v>
      </c>
      <c r="T5" s="8">
        <v>1.2749999999999999</v>
      </c>
      <c r="U5" s="5" t="s">
        <v>34</v>
      </c>
      <c r="V5" s="8">
        <v>16.42728904847397</v>
      </c>
      <c r="W5" s="5" t="s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9"/>
  <sheetViews>
    <sheetView showGridLines="0" workbookViewId="0">
      <pane xSplit="1" ySplit="5" topLeftCell="B21" activePane="bottomRight" state="frozen"/>
      <selection pane="topRight"/>
      <selection pane="bottomLeft"/>
      <selection pane="bottomRight" activeCell="B26" sqref="B26"/>
    </sheetView>
  </sheetViews>
  <sheetFormatPr baseColWidth="10" defaultColWidth="8.7265625" defaultRowHeight="14.5" x14ac:dyDescent="0.35"/>
  <cols>
    <col min="1" max="1" width="37" customWidth="1"/>
    <col min="2" max="3" width="43" customWidth="1"/>
    <col min="5" max="7" width="13" hidden="1" customWidth="1"/>
  </cols>
  <sheetData>
    <row r="1" spans="1:7" ht="32" customHeight="1" x14ac:dyDescent="0.35">
      <c r="A1" s="15" t="s">
        <v>51</v>
      </c>
      <c r="B1" s="16"/>
      <c r="C1" s="16"/>
    </row>
    <row r="2" spans="1:7" x14ac:dyDescent="0.35">
      <c r="E2" t="s">
        <v>25</v>
      </c>
      <c r="F2" t="s">
        <v>23</v>
      </c>
      <c r="G2" t="s">
        <v>35</v>
      </c>
    </row>
    <row r="3" spans="1:7" x14ac:dyDescent="0.35">
      <c r="A3" s="9" t="s">
        <v>2</v>
      </c>
      <c r="B3" s="10" t="s">
        <v>44</v>
      </c>
      <c r="E3" t="s">
        <v>44</v>
      </c>
      <c r="F3" t="s">
        <v>42</v>
      </c>
      <c r="G3" t="s">
        <v>45</v>
      </c>
    </row>
    <row r="4" spans="1:7" x14ac:dyDescent="0.35">
      <c r="A4" t="s">
        <v>52</v>
      </c>
    </row>
    <row r="5" spans="1:7" ht="25" customHeight="1" x14ac:dyDescent="0.35">
      <c r="A5" s="10" t="s">
        <v>53</v>
      </c>
      <c r="B5" s="10" t="s">
        <v>27</v>
      </c>
      <c r="C5" s="10" t="s">
        <v>36</v>
      </c>
    </row>
    <row r="6" spans="1:7" ht="30" customHeight="1" x14ac:dyDescent="0.35">
      <c r="A6" s="11" t="s">
        <v>0</v>
      </c>
      <c r="B6" s="17" t="str">
        <f>IF($B$3="","Sin datos",IFERROR(INDEX($F$2:$F$3,MATCH($B$3,$E$2:$E$3,0)),"Sin datos"))</f>
        <v>L2-1C2026-AND-M</v>
      </c>
      <c r="C6" s="17" t="str">
        <f>IF($B$3="","Sin datos",IFERROR(INDEX($G$2:$G$3,MATCH($B$3,$E$2:$E$3,0)),"Sin datos"))</f>
        <v>L2-1C2026-AND-V</v>
      </c>
    </row>
    <row r="7" spans="1:7" ht="30" customHeight="1" x14ac:dyDescent="0.35">
      <c r="A7" s="11" t="s">
        <v>1</v>
      </c>
      <c r="B7" s="18" t="str">
        <f>IF(OR($B$3="",B$6="Sin datos"),"Sin datos",IFERROR(IF(COUNTBLANK(INDEX(Resumen!$B$2:$B$5,MATCH(B$6,Resumen!$A$2:$A$5,0)))&gt;0,"Sin datos",INDEX(Resumen!$B$2:$B$5,MATCH(B$6,Resumen!$A$2:$A$5,0))),"Sin datos"))</f>
        <v>Sistema de Atención al Volante</v>
      </c>
      <c r="C7" s="18" t="str">
        <f>IF(OR($B$3="",C$6="Sin datos"),"Sin datos",IFERROR(IF(COUNTBLANK(INDEX(Resumen!$B$2:$B$5,MATCH(C$6,Resumen!$A$2:$A$5,0)))&gt;0,"Sin datos",INDEX(Resumen!$B$2:$B$5,MATCH(C$6,Resumen!$A$2:$A$5,0))),"Sin datos"))</f>
        <v>Sistema de Atención al Volante</v>
      </c>
    </row>
    <row r="8" spans="1:7" ht="30" customHeight="1" x14ac:dyDescent="0.35">
      <c r="A8" s="11" t="s">
        <v>2</v>
      </c>
      <c r="B8" s="18" t="str">
        <f>IF(OR($B$3="",B$6="Sin datos"),"Sin datos",IFERROR(IF(COUNTBLANK(INDEX(Resumen!$C$2:$C$5,MATCH(B$6,Resumen!$A$2:$A$5,0)))&gt;0,"Sin datos",INDEX(Resumen!$C$2:$C$5,MATCH(B$6,Resumen!$A$2:$A$5,0))),"Sin datos"))</f>
        <v>L2-1C2026</v>
      </c>
      <c r="C8" s="18" t="str">
        <f>IF(OR($B$3="",C$6="Sin datos"),"Sin datos",IFERROR(IF(COUNTBLANK(INDEX(Resumen!$C$2:$C$5,MATCH(C$6,Resumen!$A$2:$A$5,0)))&gt;0,"Sin datos",INDEX(Resumen!$C$2:$C$5,MATCH(C$6,Resumen!$A$2:$A$5,0))),"Sin datos"))</f>
        <v>L2-1C2026</v>
      </c>
    </row>
    <row r="9" spans="1:7" ht="30" customHeight="1" x14ac:dyDescent="0.35">
      <c r="A9" s="11" t="s">
        <v>3</v>
      </c>
      <c r="B9" s="18" t="str">
        <f>IF(OR($B$3="",B$6="Sin datos"),"Sin datos",IFERROR(IF(COUNTBLANK(INDEX(Resumen!$D$2:$D$5,MATCH(B$6,Resumen!$A$2:$A$5,0)))&gt;0,"Sin datos",INDEX(Resumen!$D$2:$D$5,MATCH(B$6,Resumen!$A$2:$A$5,0))),"Sin datos"))</f>
        <v>Android</v>
      </c>
      <c r="C9" s="18" t="str">
        <f>IF(OR($B$3="",C$6="Sin datos"),"Sin datos",IFERROR(IF(COUNTBLANK(INDEX(Resumen!$D$2:$D$5,MATCH(C$6,Resumen!$A$2:$A$5,0)))&gt;0,"Sin datos",INDEX(Resumen!$D$2:$D$5,MATCH(C$6,Resumen!$A$2:$A$5,0))),"Sin datos"))</f>
        <v>Android</v>
      </c>
    </row>
    <row r="10" spans="1:7" ht="30" customHeight="1" x14ac:dyDescent="0.35">
      <c r="A10" s="11" t="s">
        <v>4</v>
      </c>
      <c r="B10" s="18" t="str">
        <f>IF(OR($B$3="",B$6="Sin datos"),"Sin datos",IFERROR(IF(COUNTBLANK(INDEX(Resumen!$E$2:$E$5,MATCH(B$6,Resumen!$A$2:$A$5,0)))&gt;0,"Sin datos",INDEX(Resumen!$E$2:$E$5,MATCH(B$6,Resumen!$A$2:$A$5,0))),"Sin datos"))</f>
        <v>Manual</v>
      </c>
      <c r="C10" s="18" t="str">
        <f>IF(OR($B$3="",C$6="Sin datos"),"Sin datos",IFERROR(IF(COUNTBLANK(INDEX(Resumen!$E$2:$E$5,MATCH(C$6,Resumen!$A$2:$A$5,0)))&gt;0,"Sin datos",INDEX(Resumen!$E$2:$E$5,MATCH(C$6,Resumen!$A$2:$A$5,0))),"Sin datos"))</f>
        <v>Vibecoding</v>
      </c>
    </row>
    <row r="11" spans="1:7" ht="30" customHeight="1" x14ac:dyDescent="0.35">
      <c r="A11" s="11" t="s">
        <v>5</v>
      </c>
      <c r="B11" s="18" t="str">
        <f>IF(OR($B$3="",B$6="Sin datos"),"Sin datos",IFERROR(IF(COUNTBLANK(INDEX(Resumen!$F$2:$F$5,MATCH(B$6,Resumen!$A$2:$A$5,0)))&gt;0,"Sin datos",INDEX(Resumen!$F$2:$F$5,MATCH(B$6,Resumen!$A$2:$A$5,0))),"Sin datos"))</f>
        <v>No aplica</v>
      </c>
      <c r="C11" s="18" t="str">
        <f>IF(OR($B$3="",C$6="Sin datos"),"Sin datos",IFERROR(IF(COUNTBLANK(INDEX(Resumen!$F$2:$F$5,MATCH(C$6,Resumen!$A$2:$A$5,0)))&gt;0,"Sin datos",INDEX(Resumen!$F$2:$F$5,MATCH(C$6,Resumen!$A$2:$A$5,0))),"Sin datos"))</f>
        <v>Gemini</v>
      </c>
    </row>
    <row r="12" spans="1:7" ht="30" customHeight="1" x14ac:dyDescent="0.35">
      <c r="A12" s="11" t="s">
        <v>6</v>
      </c>
      <c r="B12" s="18" t="str">
        <f>IF(OR($B$3="",B$6="Sin datos"),"Sin datos",IFERROR(IF(COUNTBLANK(INDEX(Resumen!$G$2:$G$5,MATCH(B$6,Resumen!$A$2:$A$5,0)))&gt;0,"Sin datos",INDEX(Resumen!$G$2:$G$5,MATCH(B$6,Resumen!$A$2:$A$5,0))),"Sin datos"))</f>
        <v>No aplica</v>
      </c>
      <c r="C12" s="18" t="str">
        <f>IF(OR($B$3="",C$6="Sin datos"),"Sin datos",IFERROR(IF(COUNTBLANK(INDEX(Resumen!$G$2:$G$5,MATCH(C$6,Resumen!$A$2:$A$5,0)))&gt;0,"Sin datos",INDEX(Resumen!$G$2:$G$5,MATCH(C$6,Resumen!$A$2:$A$5,0))),"Sin datos"))</f>
        <v>Gemini Pro</v>
      </c>
    </row>
    <row r="13" spans="1:7" ht="30" customHeight="1" x14ac:dyDescent="0.35">
      <c r="A13" s="11" t="s">
        <v>7</v>
      </c>
      <c r="B13" s="18" t="str">
        <f>IF(OR($B$3="",B$6="Sin datos"),"Sin datos",IFERROR(IF(COUNTBLANK(INDEX(Resumen!$H$2:$H$5,MATCH(B$6,Resumen!$A$2:$A$5,0)))&gt;0,"Sin datos",INDEX(Resumen!$H$2:$H$5,MATCH(B$6,Resumen!$A$2:$A$5,0))),"Sin datos"))</f>
        <v>Java</v>
      </c>
      <c r="C13" s="18" t="str">
        <f>IF(OR($B$3="",C$6="Sin datos"),"Sin datos",IFERROR(IF(COUNTBLANK(INDEX(Resumen!$H$2:$H$5,MATCH(C$6,Resumen!$A$2:$A$5,0)))&gt;0,"Sin datos",INDEX(Resumen!$H$2:$H$5,MATCH(C$6,Resumen!$A$2:$A$5,0))),"Sin datos"))</f>
        <v>Kotlin</v>
      </c>
    </row>
    <row r="14" spans="1:7" ht="30" customHeight="1" x14ac:dyDescent="0.35">
      <c r="A14" s="11" t="s">
        <v>8</v>
      </c>
      <c r="B14" s="19">
        <f>IF(OR($B$3="",B$6="Sin datos"),"Sin datos",IFERROR(IF(COUNTBLANK(INDEX(Resumen!$I$2:$I$5,MATCH(B$6,Resumen!$A$2:$A$5,0)))&gt;0,"Sin datos",INDEX(Resumen!$I$2:$I$5,MATCH(B$6,Resumen!$A$2:$A$5,0))),"Sin datos"))</f>
        <v>3.07</v>
      </c>
      <c r="C14" s="19">
        <f>IF(OR($B$3="",C$6="Sin datos"),"Sin datos",IFERROR(IF(COUNTBLANK(INDEX(Resumen!$I$2:$I$5,MATCH(C$6,Resumen!$A$2:$A$5,0)))&gt;0,"Sin datos",INDEX(Resumen!$I$2:$I$5,MATCH(C$6,Resumen!$A$2:$A$5,0))),"Sin datos"))</f>
        <v>1.63</v>
      </c>
    </row>
    <row r="15" spans="1:7" ht="30" customHeight="1" x14ac:dyDescent="0.35">
      <c r="A15" s="11" t="s">
        <v>9</v>
      </c>
      <c r="B15" s="20" t="str">
        <f>IF(OR($B$3="",B$6="Sin datos"),"Sin datos",IFERROR(IF(COUNTBLANK(INDEX(Resumen!$J$2:$J$5,MATCH(B$6,Resumen!$A$2:$A$5,0)))&gt;0,"Sin datos",INDEX(Resumen!$J$2:$J$5,MATCH(B$6,Resumen!$A$2:$A$5,0))),"Sin datos"))</f>
        <v>Bajo</v>
      </c>
      <c r="C15" s="20" t="str">
        <f>IF(OR($B$3="",C$6="Sin datos"),"Sin datos",IFERROR(IF(COUNTBLANK(INDEX(Resumen!$J$2:$J$5,MATCH(C$6,Resumen!$A$2:$A$5,0)))&gt;0,"Sin datos",INDEX(Resumen!$J$2:$J$5,MATCH(C$6,Resumen!$A$2:$A$5,0))),"Sin datos"))</f>
        <v>Bajo</v>
      </c>
    </row>
    <row r="16" spans="1:7" ht="30" customHeight="1" x14ac:dyDescent="0.35">
      <c r="A16" s="11" t="s">
        <v>10</v>
      </c>
      <c r="B16" s="19">
        <f>IF(OR($B$3="",B$6="Sin datos"),"Sin datos",IFERROR(IF(COUNTBLANK(INDEX(Resumen!$K$2:$K$5,MATCH(B$6,Resumen!$A$2:$A$5,0)))&gt;0,"Sin datos",INDEX(Resumen!$K$2:$K$5,MATCH(B$6,Resumen!$A$2:$A$5,0))),"Sin datos"))</f>
        <v>57.08</v>
      </c>
      <c r="C16" s="19">
        <f>IF(OR($B$3="",C$6="Sin datos"),"Sin datos",IFERROR(IF(COUNTBLANK(INDEX(Resumen!$K$2:$K$5,MATCH(C$6,Resumen!$A$2:$A$5,0)))&gt;0,"Sin datos",INDEX(Resumen!$K$2:$K$5,MATCH(C$6,Resumen!$A$2:$A$5,0))),"Sin datos"))</f>
        <v>53.99</v>
      </c>
    </row>
    <row r="17" spans="1:3" ht="30" customHeight="1" x14ac:dyDescent="0.35">
      <c r="A17" s="11" t="s">
        <v>11</v>
      </c>
      <c r="B17" s="20" t="str">
        <f>IF(OR($B$3="",B$6="Sin datos"),"Sin datos",IFERROR(IF(COUNTBLANK(INDEX(Resumen!$L$2:$L$5,MATCH(B$6,Resumen!$A$2:$A$5,0)))&gt;0,"Sin datos",INDEX(Resumen!$L$2:$L$5,MATCH(B$6,Resumen!$A$2:$A$5,0))),"Sin datos"))</f>
        <v>Buena</v>
      </c>
      <c r="C17" s="20" t="str">
        <f>IF(OR($B$3="",C$6="Sin datos"),"Sin datos",IFERROR(IF(COUNTBLANK(INDEX(Resumen!$L$2:$L$5,MATCH(C$6,Resumen!$A$2:$A$5,0)))&gt;0,"Sin datos",INDEX(Resumen!$L$2:$L$5,MATCH(C$6,Resumen!$A$2:$A$5,0))),"Sin datos"))</f>
        <v>Buena</v>
      </c>
    </row>
    <row r="18" spans="1:3" ht="30" customHeight="1" x14ac:dyDescent="0.35">
      <c r="A18" s="11" t="s">
        <v>12</v>
      </c>
      <c r="B18" s="19">
        <f>IF(OR($B$3="",B$6="Sin datos"),"Sin datos",IFERROR(IF(COUNTBLANK(INDEX(Resumen!$M$2:$M$5,MATCH(B$6,Resumen!$A$2:$A$5,0)))&gt;0,"Sin datos",INDEX(Resumen!$M$2:$M$5,MATCH(B$6,Resumen!$A$2:$A$5,0))),"Sin datos"))</f>
        <v>9.2200000000000006</v>
      </c>
      <c r="C18" s="19">
        <f>IF(OR($B$3="",C$6="Sin datos"),"Sin datos",IFERROR(IF(COUNTBLANK(INDEX(Resumen!$M$2:$M$5,MATCH(C$6,Resumen!$A$2:$A$5,0)))&gt;0,"Sin datos",INDEX(Resumen!$M$2:$M$5,MATCH(C$6,Resumen!$A$2:$A$5,0))),"Sin datos"))</f>
        <v>104.69</v>
      </c>
    </row>
    <row r="19" spans="1:3" ht="30" customHeight="1" x14ac:dyDescent="0.35">
      <c r="A19" s="11" t="s">
        <v>13</v>
      </c>
      <c r="B19" s="19">
        <f>IF(OR($B$3="",B$6="Sin datos"),"Sin datos",IFERROR(IF(COUNTBLANK(INDEX(Resumen!$N$2:$N$5,MATCH(B$6,Resumen!$A$2:$A$5,0)))&gt;0,"Sin datos",INDEX(Resumen!$N$2:$N$5,MATCH(B$6,Resumen!$A$2:$A$5,0))),"Sin datos"))</f>
        <v>2.75</v>
      </c>
      <c r="C19" s="19">
        <f>IF(OR($B$3="",C$6="Sin datos"),"Sin datos",IFERROR(IF(COUNTBLANK(INDEX(Resumen!$N$2:$N$5,MATCH(C$6,Resumen!$A$2:$A$5,0)))&gt;0,"Sin datos",INDEX(Resumen!$N$2:$N$5,MATCH(C$6,Resumen!$A$2:$A$5,0))),"Sin datos"))</f>
        <v>1.75</v>
      </c>
    </row>
    <row r="20" spans="1:3" ht="30" customHeight="1" x14ac:dyDescent="0.35">
      <c r="A20" s="11" t="s">
        <v>14</v>
      </c>
      <c r="B20" s="20" t="str">
        <f>IF(OR($B$3="",B$6="Sin datos"),"Sin datos",IFERROR(IF(COUNTBLANK(INDEX(Resumen!$O$2:$O$5,MATCH(B$6,Resumen!$A$2:$A$5,0)))&gt;0,"Sin datos",INDEX(Resumen!$O$2:$O$5,MATCH(B$6,Resumen!$A$2:$A$5,0))),"Sin datos"))</f>
        <v>Presencia de issues altos</v>
      </c>
      <c r="C20" s="20" t="str">
        <f>IF(OR($B$3="",C$6="Sin datos"),"Sin datos",IFERROR(IF(COUNTBLANK(INDEX(Resumen!$O$2:$O$5,MATCH(C$6,Resumen!$A$2:$A$5,0)))&gt;0,"Sin datos",INDEX(Resumen!$O$2:$O$5,MATCH(C$6,Resumen!$A$2:$A$5,0))),"Sin datos"))</f>
        <v>Predominan issues medios</v>
      </c>
    </row>
    <row r="21" spans="1:3" ht="30" customHeight="1" x14ac:dyDescent="0.35">
      <c r="A21" s="11" t="s">
        <v>15</v>
      </c>
      <c r="B21" s="19" t="str">
        <f>IF(OR($B$3="",B$6="Sin datos"),"Sin datos",IFERROR(IF(COUNTBLANK(INDEX(Resumen!$P$2:$P$5,MATCH(B$6,Resumen!$A$2:$A$5,0)))&gt;0,"Sin datos",INDEX(Resumen!$P$2:$P$5,MATCH(B$6,Resumen!$A$2:$A$5,0))),"Sin datos"))</f>
        <v>Sin datos</v>
      </c>
      <c r="C21" s="19">
        <f>IF(OR($B$3="",C$6="Sin datos"),"Sin datos",IFERROR(IF(COUNTBLANK(INDEX(Resumen!$P$2:$P$5,MATCH(C$6,Resumen!$A$2:$A$5,0)))&gt;0,"Sin datos",INDEX(Resumen!$P$2:$P$5,MATCH(C$6,Resumen!$A$2:$A$5,0))),"Sin datos"))</f>
        <v>3</v>
      </c>
    </row>
    <row r="22" spans="1:3" ht="30" customHeight="1" x14ac:dyDescent="0.35">
      <c r="A22" s="11" t="s">
        <v>16</v>
      </c>
      <c r="B22" s="20" t="str">
        <f>IF(OR($B$3="",B$6="Sin datos"),"Sin datos",IFERROR(IF(COUNTBLANK(INDEX(Resumen!$Q$2:$Q$5,MATCH(B$6,Resumen!$A$2:$A$5,0)))&gt;0,"Sin datos",INDEX(Resumen!$Q$2:$Q$5,MATCH(B$6,Resumen!$A$2:$A$5,0))),"Sin datos"))</f>
        <v>Sin datos</v>
      </c>
      <c r="C22" s="20" t="str">
        <f>IF(OR($B$3="",C$6="Sin datos"),"Sin datos",IFERROR(IF(COUNTBLANK(INDEX(Resumen!$Q$2:$Q$5,MATCH(C$6,Resumen!$A$2:$A$5,0)))&gt;0,"Sin datos",INDEX(Resumen!$Q$2:$Q$5,MATCH(C$6,Resumen!$A$2:$A$5,0))),"Sin datos"))</f>
        <v>Muy buen uso de concurrencia</v>
      </c>
    </row>
    <row r="23" spans="1:3" ht="30" customHeight="1" x14ac:dyDescent="0.35">
      <c r="A23" s="11" t="s">
        <v>17</v>
      </c>
      <c r="B23" s="19" t="str">
        <f>IF(OR($B$3="",B$6="Sin datos"),"Sin datos",IFERROR(IF(COUNTBLANK(INDEX(Resumen!$R$2:$R$5,MATCH(B$6,Resumen!$A$2:$A$5,0)))&gt;0,"Sin datos",INDEX(Resumen!$R$2:$R$5,MATCH(B$6,Resumen!$A$2:$A$5,0))),"Sin datos"))</f>
        <v>Sin datos</v>
      </c>
      <c r="C23" s="19">
        <f>IF(OR($B$3="",C$6="Sin datos"),"Sin datos",IFERROR(IF(COUNTBLANK(INDEX(Resumen!$R$2:$R$5,MATCH(C$6,Resumen!$A$2:$A$5,0)))&gt;0,"Sin datos",INDEX(Resumen!$R$2:$R$5,MATCH(C$6,Resumen!$A$2:$A$5,0))),"Sin datos"))</f>
        <v>4.96</v>
      </c>
    </row>
    <row r="24" spans="1:3" ht="30" customHeight="1" x14ac:dyDescent="0.35">
      <c r="A24" s="11" t="s">
        <v>18</v>
      </c>
      <c r="B24" s="20" t="str">
        <f>IF(OR($B$3="",B$6="Sin datos"),"Sin datos",IFERROR(IF(COUNTBLANK(INDEX(Resumen!$S$2:$S$5,MATCH(B$6,Resumen!$A$2:$A$5,0)))&gt;0,"Sin datos",INDEX(Resumen!$S$2:$S$5,MATCH(B$6,Resumen!$A$2:$A$5,0))),"Sin datos"))</f>
        <v>Sin datos</v>
      </c>
      <c r="C24" s="20" t="str">
        <f>IF(OR($B$3="",C$6="Sin datos"),"Sin datos",IFERROR(IF(COUNTBLANK(INDEX(Resumen!$S$2:$S$5,MATCH(C$6,Resumen!$A$2:$A$5,0)))&gt;0,"Sin datos",INDEX(Resumen!$S$2:$S$5,MATCH(C$6,Resumen!$A$2:$A$5,0))),"Sin datos"))</f>
        <v>Bajo NLOC/token, ajustada por refinamientos.</v>
      </c>
    </row>
    <row r="25" spans="1:3" ht="30" customHeight="1" x14ac:dyDescent="0.35">
      <c r="A25" s="11" t="s">
        <v>19</v>
      </c>
      <c r="B25" s="21">
        <f>IF(OR($B$3="",B$6="Sin datos"),"Sin datos",IFERROR(IF(COUNTBLANK(INDEX(Resumen!$T$2:$T$5,MATCH(B$6,Resumen!$A$2:$A$5,0)))&gt;0,"Sin datos",INDEX(Resumen!$T$2:$T$5,MATCH(B$6,Resumen!$A$2:$A$5,0))),"Sin datos"))</f>
        <v>1.7437499999999999</v>
      </c>
      <c r="C25" s="21">
        <f>IF(OR($B$3="",C$6="Sin datos"),"Sin datos",IFERROR(IF(COUNTBLANK(INDEX(Resumen!$T$2:$T$5,MATCH(C$6,Resumen!$A$2:$A$5,0)))&gt;0,"Sin datos",INDEX(Resumen!$T$2:$T$5,MATCH(C$6,Resumen!$A$2:$A$5,0))),"Sin datos"))</f>
        <v>1.2749999999999999</v>
      </c>
    </row>
    <row r="26" spans="1:3" ht="30" customHeight="1" x14ac:dyDescent="0.35">
      <c r="A26" s="11" t="s">
        <v>20</v>
      </c>
      <c r="B26" s="20" t="str">
        <f>IF(OR($B$3="",B$6="Sin datos"),"Sin datos",IFERROR(IF(COUNTBLANK(INDEX(Resumen!$U$2:$U$5,MATCH(B$6,Resumen!$A$2:$A$5,0)))&gt;0,"Sin datos",INDEX(Resumen!$U$2:$U$5,MATCH(B$6,Resumen!$A$2:$A$5,0))),"Sin datos"))</f>
        <v>Consumo bajo de CPU</v>
      </c>
      <c r="C26" s="20" t="str">
        <f>IF(OR($B$3="",C$6="Sin datos"),"Sin datos",IFERROR(IF(COUNTBLANK(INDEX(Resumen!$U$2:$U$5,MATCH(C$6,Resumen!$A$2:$A$5,0)))&gt;0,"Sin datos",INDEX(Resumen!$U$2:$U$5,MATCH(C$6,Resumen!$A$2:$A$5,0))),"Sin datos"))</f>
        <v>Consumo bajo de CPU</v>
      </c>
    </row>
    <row r="27" spans="1:3" ht="30" customHeight="1" x14ac:dyDescent="0.35">
      <c r="A27" s="11" t="s">
        <v>21</v>
      </c>
      <c r="B27" s="21">
        <f>IF(OR($B$3="",B$6="Sin datos"),"Sin datos",IFERROR(IF(COUNTBLANK(INDEX(Resumen!$V$2:$V$5,MATCH(B$6,Resumen!$A$2:$A$5,0)))&gt;0,"Sin datos",INDEX(Resumen!$V$2:$V$5,MATCH(B$6,Resumen!$A$2:$A$5,0))),"Sin datos"))</f>
        <v>9.3357271095152594</v>
      </c>
      <c r="C27" s="21">
        <f>IF(OR($B$3="",C$6="Sin datos"),"Sin datos",IFERROR(IF(COUNTBLANK(INDEX(Resumen!$V$2:$V$5,MATCH(C$6,Resumen!$A$2:$A$5,0)))&gt;0,"Sin datos",INDEX(Resumen!$V$2:$V$5,MATCH(C$6,Resumen!$A$2:$A$5,0))),"Sin datos"))</f>
        <v>16.42728904847397</v>
      </c>
    </row>
    <row r="28" spans="1:3" ht="30" customHeight="1" x14ac:dyDescent="0.35">
      <c r="A28" s="11" t="s">
        <v>22</v>
      </c>
      <c r="B28" s="20" t="str">
        <f>IF(OR($B$3="",B$6="Sin datos"),"Sin datos",IFERROR(IF(COUNTBLANK(INDEX(Resumen!$W$2:$W$5,MATCH(B$6,Resumen!$A$2:$A$5,0)))&gt;0,"Sin datos",INDEX(Resumen!$W$2:$W$5,MATCH(B$6,Resumen!$A$2:$A$5,0))),"Sin datos"))</f>
        <v>Consumo bajo de CPU</v>
      </c>
      <c r="C28" s="20" t="str">
        <f>IF(OR($B$3="",C$6="Sin datos"),"Sin datos",IFERROR(IF(COUNTBLANK(INDEX(Resumen!$W$2:$W$5,MATCH(C$6,Resumen!$A$2:$A$5,0)))&gt;0,"Sin datos",INDEX(Resumen!$W$2:$W$5,MATCH(C$6,Resumen!$A$2:$A$5,0))),"Sin datos"))</f>
        <v>Consumo bajo de CPU</v>
      </c>
    </row>
    <row r="29" spans="1:3" x14ac:dyDescent="0.35">
      <c r="B29" s="22"/>
      <c r="C29" s="22"/>
    </row>
  </sheetData>
  <mergeCells count="1">
    <mergeCell ref="A1:C1"/>
  </mergeCells>
  <conditionalFormatting sqref="B6:C28">
    <cfRule type="expression" dxfId="0" priority="1">
      <formula>B6="Sin datos"</formula>
    </cfRule>
  </conditionalFormatting>
  <dataValidations count="1">
    <dataValidation type="list" showErrorMessage="1" error="Seleccioná un ID existente" sqref="B3" xr:uid="{00000000-0002-0000-0100-000000000000}">
      <formula1>$E$2:$E$3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"/>
  <sheetViews>
    <sheetView workbookViewId="0"/>
  </sheetViews>
  <sheetFormatPr baseColWidth="10" defaultColWidth="8.7265625" defaultRowHeight="14.5" x14ac:dyDescent="0.35"/>
  <cols>
    <col min="1" max="1" width="18" customWidth="1"/>
    <col min="2" max="2" width="24" customWidth="1"/>
    <col min="3" max="3" width="12" customWidth="1"/>
    <col min="4" max="4" width="15" customWidth="1"/>
    <col min="5" max="5" width="13" customWidth="1"/>
    <col min="6" max="6" width="14" customWidth="1"/>
    <col min="7" max="7" width="21" customWidth="1"/>
    <col min="8" max="8" width="16" customWidth="1"/>
  </cols>
  <sheetData>
    <row r="1" spans="1:8" x14ac:dyDescent="0.35">
      <c r="A1" s="1" t="s">
        <v>0</v>
      </c>
      <c r="B1" s="1" t="s">
        <v>54</v>
      </c>
      <c r="C1" s="1" t="s">
        <v>55</v>
      </c>
      <c r="D1" s="1" t="s">
        <v>8</v>
      </c>
      <c r="E1" s="1" t="s">
        <v>56</v>
      </c>
      <c r="F1" s="1" t="s">
        <v>9</v>
      </c>
      <c r="G1" s="1" t="s">
        <v>57</v>
      </c>
      <c r="H1" s="1" t="s">
        <v>58</v>
      </c>
    </row>
    <row r="2" spans="1:8" x14ac:dyDescent="0.35">
      <c r="A2" t="s">
        <v>23</v>
      </c>
      <c r="B2">
        <v>48</v>
      </c>
      <c r="C2">
        <v>90</v>
      </c>
      <c r="D2">
        <v>1.88</v>
      </c>
      <c r="E2">
        <v>456</v>
      </c>
      <c r="F2" t="s">
        <v>30</v>
      </c>
      <c r="G2" t="s">
        <v>59</v>
      </c>
      <c r="H2">
        <v>9.5</v>
      </c>
    </row>
    <row r="3" spans="1:8" x14ac:dyDescent="0.35">
      <c r="A3" t="s">
        <v>35</v>
      </c>
      <c r="B3">
        <v>77</v>
      </c>
      <c r="C3">
        <v>140</v>
      </c>
      <c r="D3">
        <v>1.82</v>
      </c>
      <c r="E3">
        <v>571</v>
      </c>
      <c r="F3" t="s">
        <v>30</v>
      </c>
      <c r="G3" t="s">
        <v>59</v>
      </c>
      <c r="H3">
        <v>7.42</v>
      </c>
    </row>
    <row r="4" spans="1:8" x14ac:dyDescent="0.35">
      <c r="A4" t="s">
        <v>42</v>
      </c>
      <c r="B4">
        <v>28</v>
      </c>
      <c r="C4">
        <v>86</v>
      </c>
      <c r="D4">
        <v>3.07</v>
      </c>
      <c r="E4">
        <v>434</v>
      </c>
      <c r="F4" t="s">
        <v>30</v>
      </c>
      <c r="G4" t="s">
        <v>59</v>
      </c>
      <c r="H4">
        <v>15.5</v>
      </c>
    </row>
    <row r="5" spans="1:8" x14ac:dyDescent="0.35">
      <c r="A5" t="s">
        <v>45</v>
      </c>
      <c r="B5">
        <v>54</v>
      </c>
      <c r="C5">
        <v>88</v>
      </c>
      <c r="D5">
        <v>1.63</v>
      </c>
      <c r="E5">
        <v>640</v>
      </c>
      <c r="F5" t="s">
        <v>30</v>
      </c>
      <c r="G5" t="s">
        <v>59</v>
      </c>
      <c r="H5">
        <v>11.85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baseColWidth="10" defaultColWidth="8.7265625" defaultRowHeight="14.5" x14ac:dyDescent="0.35"/>
  <cols>
    <col min="1" max="1" width="18" customWidth="1"/>
    <col min="2" max="2" width="10" customWidth="1"/>
    <col min="3" max="3" width="27" customWidth="1"/>
    <col min="4" max="4" width="16" customWidth="1"/>
    <col min="5" max="5" width="8" customWidth="1"/>
    <col min="6" max="6" width="14" customWidth="1"/>
    <col min="7" max="7" width="23" customWidth="1"/>
  </cols>
  <sheetData>
    <row r="1" spans="1:7" x14ac:dyDescent="0.35">
      <c r="A1" s="1" t="s">
        <v>0</v>
      </c>
      <c r="B1" s="1" t="s">
        <v>60</v>
      </c>
      <c r="C1" s="1" t="s">
        <v>61</v>
      </c>
      <c r="D1" s="1" t="s">
        <v>62</v>
      </c>
      <c r="E1" s="1" t="s">
        <v>10</v>
      </c>
      <c r="F1" s="1" t="s">
        <v>11</v>
      </c>
      <c r="G1" s="1" t="s">
        <v>63</v>
      </c>
    </row>
    <row r="2" spans="1:7" x14ac:dyDescent="0.35">
      <c r="A2" t="s">
        <v>23</v>
      </c>
      <c r="B2">
        <v>456</v>
      </c>
      <c r="C2">
        <v>48</v>
      </c>
      <c r="D2">
        <v>3219</v>
      </c>
      <c r="E2">
        <v>53.1</v>
      </c>
      <c r="F2" t="s">
        <v>31</v>
      </c>
      <c r="G2" t="s">
        <v>64</v>
      </c>
    </row>
    <row r="3" spans="1:7" x14ac:dyDescent="0.35">
      <c r="A3" t="s">
        <v>35</v>
      </c>
      <c r="B3">
        <v>571</v>
      </c>
      <c r="C3">
        <v>77</v>
      </c>
      <c r="D3">
        <v>3686</v>
      </c>
      <c r="E3">
        <v>50.98</v>
      </c>
      <c r="F3" t="s">
        <v>31</v>
      </c>
      <c r="G3" t="s">
        <v>64</v>
      </c>
    </row>
    <row r="4" spans="1:7" x14ac:dyDescent="0.35">
      <c r="A4" t="s">
        <v>42</v>
      </c>
      <c r="B4">
        <v>434</v>
      </c>
      <c r="C4">
        <v>28</v>
      </c>
      <c r="D4">
        <v>3007</v>
      </c>
      <c r="E4">
        <v>57.08</v>
      </c>
      <c r="F4" t="s">
        <v>31</v>
      </c>
      <c r="G4" t="s">
        <v>64</v>
      </c>
    </row>
    <row r="5" spans="1:7" x14ac:dyDescent="0.35">
      <c r="A5" t="s">
        <v>45</v>
      </c>
      <c r="B5">
        <v>640</v>
      </c>
      <c r="C5">
        <v>54</v>
      </c>
      <c r="D5">
        <v>3525</v>
      </c>
      <c r="E5">
        <v>53.99</v>
      </c>
      <c r="F5" t="s">
        <v>31</v>
      </c>
      <c r="G5" t="s">
        <v>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"/>
  <sheetViews>
    <sheetView workbookViewId="0"/>
  </sheetViews>
  <sheetFormatPr baseColWidth="10" defaultColWidth="8.7265625" defaultRowHeight="14.5" x14ac:dyDescent="0.35"/>
  <cols>
    <col min="1" max="1" width="18" customWidth="1"/>
    <col min="2" max="2" width="13" customWidth="1"/>
    <col min="3" max="3" width="18" customWidth="1"/>
    <col min="4" max="4" width="14" customWidth="1"/>
    <col min="5" max="5" width="7" customWidth="1"/>
    <col min="6" max="6" width="15" customWidth="1"/>
    <col min="7" max="7" width="28" customWidth="1"/>
    <col min="8" max="8" width="25" customWidth="1"/>
    <col min="9" max="9" width="23" customWidth="1"/>
    <col min="10" max="10" width="24" customWidth="1"/>
    <col min="11" max="11" width="23" customWidth="1"/>
    <col min="12" max="12" width="45" customWidth="1"/>
  </cols>
  <sheetData>
    <row r="1" spans="1:12" x14ac:dyDescent="0.35">
      <c r="A1" s="1" t="s">
        <v>0</v>
      </c>
      <c r="B1" s="1" t="s">
        <v>65</v>
      </c>
      <c r="C1" s="1" t="s">
        <v>66</v>
      </c>
      <c r="D1" s="1" t="s">
        <v>12</v>
      </c>
      <c r="E1" s="1" t="s">
        <v>13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1" t="s">
        <v>72</v>
      </c>
      <c r="L1" s="1" t="s">
        <v>73</v>
      </c>
    </row>
    <row r="2" spans="1:12" ht="116" x14ac:dyDescent="0.35">
      <c r="A2" t="s">
        <v>23</v>
      </c>
      <c r="B2" t="s">
        <v>74</v>
      </c>
      <c r="C2">
        <v>30</v>
      </c>
      <c r="D2">
        <v>65.790000000000006</v>
      </c>
      <c r="E2">
        <v>2.0299999999999998</v>
      </c>
      <c r="F2" t="s">
        <v>75</v>
      </c>
      <c r="G2" t="s">
        <v>32</v>
      </c>
      <c r="H2" t="s">
        <v>76</v>
      </c>
      <c r="I2">
        <v>2</v>
      </c>
      <c r="J2">
        <v>23</v>
      </c>
      <c r="K2">
        <v>5</v>
      </c>
      <c r="L2" s="12" t="s">
        <v>77</v>
      </c>
    </row>
    <row r="3" spans="1:12" ht="43.5" x14ac:dyDescent="0.35">
      <c r="A3" t="s">
        <v>35</v>
      </c>
      <c r="B3" t="s">
        <v>74</v>
      </c>
      <c r="C3">
        <v>9</v>
      </c>
      <c r="D3">
        <v>15.76</v>
      </c>
      <c r="E3">
        <v>2.67</v>
      </c>
      <c r="F3" t="s">
        <v>78</v>
      </c>
      <c r="G3" t="s">
        <v>39</v>
      </c>
      <c r="H3" t="s">
        <v>79</v>
      </c>
      <c r="I3">
        <v>2</v>
      </c>
      <c r="J3">
        <v>7</v>
      </c>
      <c r="K3">
        <v>0</v>
      </c>
      <c r="L3" s="12" t="s">
        <v>80</v>
      </c>
    </row>
    <row r="4" spans="1:12" ht="29" x14ac:dyDescent="0.35">
      <c r="A4" t="s">
        <v>42</v>
      </c>
      <c r="B4" t="s">
        <v>74</v>
      </c>
      <c r="C4">
        <v>4</v>
      </c>
      <c r="D4">
        <v>9.2200000000000006</v>
      </c>
      <c r="E4">
        <v>2.75</v>
      </c>
      <c r="F4" t="s">
        <v>78</v>
      </c>
      <c r="G4" t="s">
        <v>39</v>
      </c>
      <c r="H4" t="s">
        <v>79</v>
      </c>
      <c r="I4">
        <v>1</v>
      </c>
      <c r="J4">
        <v>3</v>
      </c>
      <c r="K4">
        <v>0</v>
      </c>
      <c r="L4" s="12" t="s">
        <v>81</v>
      </c>
    </row>
    <row r="5" spans="1:12" ht="87" x14ac:dyDescent="0.35">
      <c r="A5" t="s">
        <v>45</v>
      </c>
      <c r="B5" t="s">
        <v>82</v>
      </c>
      <c r="C5">
        <v>67</v>
      </c>
      <c r="D5">
        <v>104.69</v>
      </c>
      <c r="E5">
        <v>1.75</v>
      </c>
      <c r="F5" t="s">
        <v>75</v>
      </c>
      <c r="G5" t="s">
        <v>32</v>
      </c>
      <c r="H5" t="s">
        <v>76</v>
      </c>
      <c r="I5">
        <v>5</v>
      </c>
      <c r="J5">
        <v>30</v>
      </c>
      <c r="K5">
        <v>32</v>
      </c>
      <c r="L5" s="12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"/>
  <sheetViews>
    <sheetView workbookViewId="0"/>
  </sheetViews>
  <sheetFormatPr baseColWidth="10" defaultColWidth="8.7265625" defaultRowHeight="14.5" x14ac:dyDescent="0.35"/>
  <cols>
    <col min="1" max="1" width="9" customWidth="1"/>
    <col min="2" max="2" width="22" customWidth="1"/>
    <col min="3" max="3" width="8" customWidth="1"/>
  </cols>
  <sheetData>
    <row r="1" spans="1:3" x14ac:dyDescent="0.35">
      <c r="A1" s="1" t="s">
        <v>0</v>
      </c>
      <c r="B1" s="1" t="s">
        <v>1</v>
      </c>
      <c r="C1" s="1" t="s">
        <v>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baseColWidth="10" defaultColWidth="8.7265625" defaultRowHeight="14.5" x14ac:dyDescent="0.35"/>
  <cols>
    <col min="1" max="1" width="18" customWidth="1"/>
    <col min="2" max="2" width="26" customWidth="1"/>
    <col min="3" max="3" width="24" customWidth="1"/>
    <col min="4" max="4" width="35" customWidth="1"/>
    <col min="5" max="5" width="34" customWidth="1"/>
    <col min="6" max="6" width="24" customWidth="1"/>
    <col min="7" max="7" width="41" customWidth="1"/>
  </cols>
  <sheetData>
    <row r="1" spans="1:7" x14ac:dyDescent="0.35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15</v>
      </c>
      <c r="G1" s="1" t="s">
        <v>16</v>
      </c>
    </row>
    <row r="2" spans="1:7" x14ac:dyDescent="0.35">
      <c r="A2" t="s">
        <v>35</v>
      </c>
      <c r="B2" t="s">
        <v>89</v>
      </c>
      <c r="C2" t="s">
        <v>90</v>
      </c>
      <c r="D2" t="s">
        <v>90</v>
      </c>
      <c r="E2" t="s">
        <v>90</v>
      </c>
      <c r="F2">
        <v>2.75</v>
      </c>
      <c r="G2" t="s">
        <v>40</v>
      </c>
    </row>
    <row r="3" spans="1:7" x14ac:dyDescent="0.35">
      <c r="A3" t="s">
        <v>45</v>
      </c>
      <c r="B3" t="s">
        <v>90</v>
      </c>
      <c r="C3" t="s">
        <v>90</v>
      </c>
      <c r="D3" t="s">
        <v>90</v>
      </c>
      <c r="E3" t="s">
        <v>90</v>
      </c>
      <c r="F3">
        <v>3</v>
      </c>
      <c r="G3" t="s">
        <v>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"/>
  <sheetViews>
    <sheetView workbookViewId="0"/>
  </sheetViews>
  <sheetFormatPr baseColWidth="10" defaultColWidth="8.7265625" defaultRowHeight="14.5" x14ac:dyDescent="0.35"/>
  <cols>
    <col min="1" max="1" width="18" customWidth="1"/>
    <col min="2" max="2" width="21" customWidth="1"/>
    <col min="3" max="3" width="12" customWidth="1"/>
    <col min="4" max="4" width="16" customWidth="1"/>
    <col min="5" max="5" width="21" customWidth="1"/>
    <col min="6" max="6" width="45" customWidth="1"/>
    <col min="7" max="7" width="23" customWidth="1"/>
    <col min="8" max="8" width="22" customWidth="1"/>
    <col min="9" max="9" width="45" customWidth="1"/>
  </cols>
  <sheetData>
    <row r="1" spans="1:9" x14ac:dyDescent="0.35">
      <c r="A1" s="1" t="s">
        <v>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</row>
    <row r="2" spans="1:9" x14ac:dyDescent="0.35">
      <c r="A2" t="s">
        <v>35</v>
      </c>
      <c r="B2" t="s">
        <v>99</v>
      </c>
      <c r="C2">
        <v>571</v>
      </c>
      <c r="D2">
        <v>3</v>
      </c>
      <c r="E2">
        <v>4024</v>
      </c>
      <c r="F2">
        <v>141.9</v>
      </c>
      <c r="G2">
        <v>109.15</v>
      </c>
      <c r="H2" t="s">
        <v>78</v>
      </c>
      <c r="I2" t="s">
        <v>41</v>
      </c>
    </row>
    <row r="3" spans="1:9" x14ac:dyDescent="0.35">
      <c r="A3" t="s">
        <v>45</v>
      </c>
      <c r="B3" t="s">
        <v>100</v>
      </c>
      <c r="C3">
        <v>640</v>
      </c>
      <c r="D3">
        <v>2</v>
      </c>
      <c r="E3">
        <v>107500</v>
      </c>
      <c r="F3">
        <v>5.95</v>
      </c>
      <c r="G3">
        <v>4.96</v>
      </c>
      <c r="H3" t="s">
        <v>30</v>
      </c>
      <c r="I3" t="s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5"/>
  <sheetViews>
    <sheetView workbookViewId="0">
      <selection activeCell="G17" sqref="G17"/>
    </sheetView>
  </sheetViews>
  <sheetFormatPr baseColWidth="10" defaultColWidth="8.7265625" defaultRowHeight="14.5" x14ac:dyDescent="0.35"/>
  <cols>
    <col min="1" max="1" width="18" customWidth="1"/>
    <col min="2" max="2" width="11" customWidth="1"/>
    <col min="3" max="3" width="18" customWidth="1"/>
    <col min="4" max="4" width="16" customWidth="1"/>
    <col min="5" max="5" width="15" customWidth="1"/>
    <col min="6" max="6" width="11" customWidth="1"/>
    <col min="7" max="7" width="21" customWidth="1"/>
    <col min="8" max="8" width="14" customWidth="1"/>
    <col min="9" max="9" width="15" customWidth="1"/>
    <col min="10" max="10" width="22" customWidth="1"/>
    <col min="11" max="11" width="20" customWidth="1"/>
    <col min="12" max="12" width="27" customWidth="1"/>
    <col min="13" max="13" width="25" customWidth="1"/>
    <col min="14" max="14" width="12" customWidth="1"/>
    <col min="15" max="15" width="22" customWidth="1"/>
    <col min="16" max="17" width="20" customWidth="1"/>
    <col min="18" max="19" width="24" customWidth="1"/>
    <col min="20" max="20" width="35" customWidth="1"/>
    <col min="21" max="21" width="22" customWidth="1"/>
    <col min="22" max="22" width="16" customWidth="1"/>
    <col min="23" max="23" width="25" customWidth="1"/>
  </cols>
  <sheetData>
    <row r="1" spans="1:23" x14ac:dyDescent="0.35">
      <c r="A1" s="1" t="s">
        <v>0</v>
      </c>
      <c r="B1" s="1" t="s">
        <v>7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M1" s="1" t="s">
        <v>111</v>
      </c>
      <c r="N1" s="1" t="s">
        <v>112</v>
      </c>
      <c r="O1" s="1" t="s">
        <v>20</v>
      </c>
      <c r="P1" s="1" t="s">
        <v>113</v>
      </c>
      <c r="Q1" s="1" t="s">
        <v>114</v>
      </c>
      <c r="R1" s="1" t="s">
        <v>115</v>
      </c>
      <c r="S1" s="1" t="s">
        <v>116</v>
      </c>
      <c r="T1" s="1" t="s">
        <v>117</v>
      </c>
      <c r="U1" s="1" t="s">
        <v>118</v>
      </c>
      <c r="V1" s="1" t="s">
        <v>119</v>
      </c>
      <c r="W1" s="1" t="s">
        <v>22</v>
      </c>
    </row>
    <row r="2" spans="1:23" x14ac:dyDescent="0.35">
      <c r="A2" t="s">
        <v>23</v>
      </c>
      <c r="B2" t="s">
        <v>29</v>
      </c>
      <c r="C2" t="s">
        <v>120</v>
      </c>
      <c r="D2" t="s">
        <v>121</v>
      </c>
      <c r="E2">
        <v>8</v>
      </c>
      <c r="F2" t="s">
        <v>122</v>
      </c>
      <c r="G2" s="13">
        <v>1</v>
      </c>
      <c r="H2" t="s">
        <v>123</v>
      </c>
      <c r="I2" s="13">
        <v>1</v>
      </c>
      <c r="J2" s="13">
        <v>0.125</v>
      </c>
      <c r="K2" s="13">
        <v>0.125</v>
      </c>
      <c r="L2" s="13">
        <v>0.125</v>
      </c>
      <c r="M2" s="13">
        <v>0.125</v>
      </c>
      <c r="N2" t="s">
        <v>30</v>
      </c>
      <c r="O2" t="s">
        <v>34</v>
      </c>
      <c r="P2" s="14">
        <v>103</v>
      </c>
      <c r="Q2" s="14">
        <v>111</v>
      </c>
      <c r="R2" s="14">
        <v>7792</v>
      </c>
      <c r="S2" s="14">
        <v>107</v>
      </c>
      <c r="T2" s="13">
        <v>1.3732032854209451</v>
      </c>
      <c r="U2" s="14">
        <v>111</v>
      </c>
      <c r="V2" t="s">
        <v>30</v>
      </c>
      <c r="W2" t="s">
        <v>34</v>
      </c>
    </row>
    <row r="3" spans="1:23" x14ac:dyDescent="0.35">
      <c r="A3" t="s">
        <v>35</v>
      </c>
      <c r="B3" t="s">
        <v>29</v>
      </c>
      <c r="C3" t="s">
        <v>120</v>
      </c>
      <c r="D3" t="s">
        <v>121</v>
      </c>
      <c r="E3">
        <v>8</v>
      </c>
      <c r="F3" t="s">
        <v>122</v>
      </c>
      <c r="G3" s="13">
        <v>1</v>
      </c>
      <c r="H3" t="s">
        <v>123</v>
      </c>
      <c r="I3" s="13">
        <v>1</v>
      </c>
      <c r="J3" s="13">
        <v>0.125</v>
      </c>
      <c r="K3" s="13">
        <v>0.125</v>
      </c>
      <c r="L3" s="13">
        <v>0.125</v>
      </c>
      <c r="M3" s="13">
        <v>0.125</v>
      </c>
      <c r="N3" t="s">
        <v>30</v>
      </c>
      <c r="O3" t="s">
        <v>34</v>
      </c>
      <c r="P3" s="14">
        <v>104</v>
      </c>
      <c r="Q3" s="14">
        <v>123</v>
      </c>
      <c r="R3" s="14">
        <v>7792</v>
      </c>
      <c r="S3" s="14">
        <v>113.5</v>
      </c>
      <c r="T3" s="13">
        <v>1.456622176591376</v>
      </c>
      <c r="U3" s="14">
        <v>123</v>
      </c>
      <c r="V3" t="s">
        <v>30</v>
      </c>
      <c r="W3" t="s">
        <v>34</v>
      </c>
    </row>
    <row r="4" spans="1:23" x14ac:dyDescent="0.35">
      <c r="A4" t="s">
        <v>42</v>
      </c>
      <c r="B4" t="s">
        <v>29</v>
      </c>
      <c r="C4" t="s">
        <v>120</v>
      </c>
      <c r="D4" t="s">
        <v>121</v>
      </c>
      <c r="E4">
        <v>8</v>
      </c>
      <c r="F4" t="s">
        <v>122</v>
      </c>
      <c r="G4" s="13">
        <v>0.89999999999999991</v>
      </c>
      <c r="H4" t="s">
        <v>124</v>
      </c>
      <c r="I4" s="13">
        <v>27</v>
      </c>
      <c r="J4" s="13">
        <v>0.1125</v>
      </c>
      <c r="K4" s="13">
        <v>3.375</v>
      </c>
      <c r="L4" s="13">
        <v>1.7437499999999999</v>
      </c>
      <c r="M4" s="13">
        <v>3.375</v>
      </c>
      <c r="N4" t="s">
        <v>30</v>
      </c>
      <c r="O4" t="s">
        <v>34</v>
      </c>
      <c r="P4" s="14">
        <v>92</v>
      </c>
      <c r="Q4" s="14">
        <v>116</v>
      </c>
      <c r="R4" s="14">
        <v>1114</v>
      </c>
      <c r="S4" s="14">
        <v>104</v>
      </c>
      <c r="T4" s="13">
        <v>9.3357271095152594</v>
      </c>
      <c r="U4" s="14">
        <v>116</v>
      </c>
      <c r="V4" t="s">
        <v>30</v>
      </c>
      <c r="W4" t="s">
        <v>34</v>
      </c>
    </row>
    <row r="5" spans="1:23" x14ac:dyDescent="0.35">
      <c r="A5" t="s">
        <v>45</v>
      </c>
      <c r="B5" t="s">
        <v>48</v>
      </c>
      <c r="C5" t="s">
        <v>120</v>
      </c>
      <c r="D5" t="s">
        <v>121</v>
      </c>
      <c r="E5">
        <v>8</v>
      </c>
      <c r="F5" t="s">
        <v>122</v>
      </c>
      <c r="G5" s="13">
        <v>2.4</v>
      </c>
      <c r="H5" t="s">
        <v>124</v>
      </c>
      <c r="I5" s="13">
        <v>18</v>
      </c>
      <c r="J5" s="13">
        <v>0.3</v>
      </c>
      <c r="K5" s="13">
        <v>2.25</v>
      </c>
      <c r="L5" s="13">
        <v>1.2749999999999999</v>
      </c>
      <c r="M5" s="13">
        <v>2.25</v>
      </c>
      <c r="N5" t="s">
        <v>30</v>
      </c>
      <c r="O5" t="s">
        <v>34</v>
      </c>
      <c r="P5" s="14">
        <v>181</v>
      </c>
      <c r="Q5" s="14">
        <v>185</v>
      </c>
      <c r="R5" s="14">
        <v>1114</v>
      </c>
      <c r="S5" s="14">
        <v>183</v>
      </c>
      <c r="T5" s="13">
        <v>16.42728904847397</v>
      </c>
      <c r="U5" s="14">
        <v>185</v>
      </c>
      <c r="V5" t="s">
        <v>30</v>
      </c>
      <c r="W5" t="s">
        <v>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tabSelected="1" workbookViewId="0">
      <selection activeCell="J20" sqref="J20"/>
    </sheetView>
  </sheetViews>
  <sheetFormatPr baseColWidth="10" defaultColWidth="8.7265625"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Resumen</vt:lpstr>
      <vt:lpstr>Comparacion</vt:lpstr>
      <vt:lpstr>Complejidad</vt:lpstr>
      <vt:lpstr>Mantenibilidad</vt:lpstr>
      <vt:lpstr>Bugs_Smells</vt:lpstr>
      <vt:lpstr>Errores</vt:lpstr>
      <vt:lpstr>Concurrencia</vt:lpstr>
      <vt:lpstr>Tokens</vt:lpstr>
      <vt:lpstr>CPU-Memoria</vt:lpstr>
      <vt:lpstr>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ESTEBAN CARNUCCIO</cp:lastModifiedBy>
  <dcterms:created xsi:type="dcterms:W3CDTF">2026-10-21T17:25:31Z</dcterms:created>
  <dcterms:modified xsi:type="dcterms:W3CDTF">2026-10-21T18:01:25Z</dcterms:modified>
</cp:coreProperties>
</file>