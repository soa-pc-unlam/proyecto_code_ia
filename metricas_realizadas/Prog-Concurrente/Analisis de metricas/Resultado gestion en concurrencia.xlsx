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proyecto_code_ia\metricas_realizadas\Prog-Concurrente\Analisis de metricas\"/>
    </mc:Choice>
  </mc:AlternateContent>
  <xr:revisionPtr revIDLastSave="0" documentId="13_ncr:1_{CDE38FDA-D1D2-48D6-85F4-BEA8CAEE2473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Rubrica cualitativa" sheetId="1" r:id="rId1"/>
    <sheet name="Rubrica cuantitativa" sheetId="2" r:id="rId2"/>
    <sheet name="Hoja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9" i="2" l="1"/>
  <c r="J28" i="2"/>
  <c r="J27" i="2"/>
  <c r="J26" i="2"/>
  <c r="J25" i="2"/>
  <c r="J24" i="2"/>
  <c r="J23" i="2"/>
  <c r="J22" i="2"/>
  <c r="J21" i="2"/>
  <c r="J20" i="2"/>
  <c r="I29" i="2"/>
  <c r="I28" i="2"/>
  <c r="I27" i="2"/>
  <c r="I26" i="2"/>
  <c r="I25" i="2"/>
  <c r="I24" i="2"/>
  <c r="I23" i="2"/>
  <c r="I22" i="2"/>
  <c r="I21" i="2"/>
  <c r="I20" i="2"/>
  <c r="H29" i="2"/>
  <c r="H28" i="2"/>
  <c r="H27" i="2"/>
  <c r="H26" i="2"/>
  <c r="H25" i="2"/>
  <c r="H24" i="2"/>
  <c r="H23" i="2"/>
  <c r="H22" i="2"/>
  <c r="H21" i="2"/>
  <c r="H20" i="2"/>
  <c r="G29" i="2"/>
  <c r="G28" i="2"/>
  <c r="G27" i="2"/>
  <c r="G26" i="2"/>
  <c r="G25" i="2"/>
  <c r="G24" i="2"/>
  <c r="G23" i="2"/>
  <c r="G22" i="2"/>
  <c r="G21" i="2"/>
  <c r="G20" i="2"/>
  <c r="F29" i="2"/>
  <c r="F28" i="2"/>
  <c r="F27" i="2"/>
  <c r="F26" i="2"/>
  <c r="F25" i="2"/>
  <c r="F24" i="2"/>
  <c r="F23" i="2"/>
  <c r="F22" i="2"/>
  <c r="F21" i="2"/>
  <c r="F20" i="2"/>
</calcChain>
</file>

<file path=xl/sharedStrings.xml><?xml version="1.0" encoding="utf-8"?>
<sst xmlns="http://schemas.openxmlformats.org/spreadsheetml/2006/main" count="268" uniqueCount="52">
  <si>
    <t>N°</t>
  </si>
  <si>
    <t>Grupo</t>
  </si>
  <si>
    <t>Herramienta</t>
  </si>
  <si>
    <t>Modelo</t>
  </si>
  <si>
    <t>Lenguaje</t>
  </si>
  <si>
    <t>CI-S</t>
  </si>
  <si>
    <t>M1</t>
  </si>
  <si>
    <t>claude.ia</t>
  </si>
  <si>
    <t>Sonnet</t>
  </si>
  <si>
    <t>Java</t>
  </si>
  <si>
    <t>CC-HSO</t>
  </si>
  <si>
    <t>M2</t>
  </si>
  <si>
    <t>Claude Code</t>
  </si>
  <si>
    <t>Haiku+Sonnet+Opus</t>
  </si>
  <si>
    <t>Python</t>
  </si>
  <si>
    <t xml:space="preserve">CC-H </t>
  </si>
  <si>
    <t>M3</t>
  </si>
  <si>
    <t>Haiku</t>
  </si>
  <si>
    <t>CC-O</t>
  </si>
  <si>
    <t>Opus</t>
  </si>
  <si>
    <t>W-GE</t>
  </si>
  <si>
    <t>M4</t>
  </si>
  <si>
    <t>Web/IDE</t>
  </si>
  <si>
    <t>Gemini Pro</t>
  </si>
  <si>
    <t>W-S</t>
  </si>
  <si>
    <t>W-GP</t>
  </si>
  <si>
    <t>GPT Mini</t>
  </si>
  <si>
    <t>W-D</t>
  </si>
  <si>
    <t>Deepseek</t>
  </si>
  <si>
    <t>CC-SO</t>
  </si>
  <si>
    <t>M5</t>
  </si>
  <si>
    <t>Sonnet+Opus</t>
  </si>
  <si>
    <t>M6</t>
  </si>
  <si>
    <t>Sincronizacion correcta</t>
  </si>
  <si>
    <t>Ausencia de Deadlocks</t>
  </si>
  <si>
    <t>Ausencia de Condicion de Carrera</t>
  </si>
  <si>
    <t>Uso correcto de exclusión mutua</t>
  </si>
  <si>
    <t>Alta</t>
  </si>
  <si>
    <t>Media</t>
  </si>
  <si>
    <t>Nivel</t>
  </si>
  <si>
    <t>Puntaje</t>
  </si>
  <si>
    <t>Baja</t>
  </si>
  <si>
    <t>M1-S</t>
  </si>
  <si>
    <t>M2-HSO</t>
  </si>
  <si>
    <t>M3-H</t>
  </si>
  <si>
    <t>M3-O</t>
  </si>
  <si>
    <t>M4-S</t>
  </si>
  <si>
    <t>M4-GE</t>
  </si>
  <si>
    <t>M4-GM</t>
  </si>
  <si>
    <t>M4-D</t>
  </si>
  <si>
    <t>M5-SO</t>
  </si>
  <si>
    <t>M6-O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</si>
</sst>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top"/>
    </xf>
    <xf numFmtId="0" fontId="2" fillId="2" borderId="0" xfId="0" applyFont="1" applyFill="1" applyAlignment="1">
      <alignment horizontal="center" vertical="top" wrapText="1"/>
    </xf>
    <xf numFmtId="0" fontId="1" fillId="3" borderId="0" xfId="0" applyFont="1" applyFill="1" applyAlignment="1">
      <alignment vertical="top"/>
    </xf>
    <xf numFmtId="0" fontId="0" fillId="4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5" borderId="0" xfId="0" applyFill="1" applyAlignment="1">
      <alignment vertical="center" wrapText="1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b="1"/>
              <a:t>Correctitud Concurrente del Código Generado por IA</a:t>
            </a:r>
            <a:r>
              <a:rPr lang="es-AR"/>
              <a:t>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'Rubrica cuantitativa'!$A$20:$A$29</c:f>
              <c:strCache>
                <c:ptCount val="10"/>
                <c:pt idx="0">
                  <c:v>M1-S</c:v>
                </c:pt>
                <c:pt idx="1">
                  <c:v>M2-HSO</c:v>
                </c:pt>
                <c:pt idx="2">
                  <c:v>M3-H</c:v>
                </c:pt>
                <c:pt idx="3">
                  <c:v>M3-O</c:v>
                </c:pt>
                <c:pt idx="4">
                  <c:v>M4-GE</c:v>
                </c:pt>
                <c:pt idx="5">
                  <c:v>M4-S</c:v>
                </c:pt>
                <c:pt idx="6">
                  <c:v>M4-GM</c:v>
                </c:pt>
                <c:pt idx="7">
                  <c:v>M4-D</c:v>
                </c:pt>
                <c:pt idx="8">
                  <c:v>M5-SO</c:v>
                </c:pt>
                <c:pt idx="9">
                  <c:v>M6-O</c:v>
                </c:pt>
              </c:strCache>
            </c:strRef>
          </c:cat>
          <c:val>
            <c:numRef>
              <c:f>'Rubrica cuantitativa'!$J$20:$J$29</c:f>
              <c:numCache>
                <c:formatCode>General</c:formatCode>
                <c:ptCount val="10"/>
                <c:pt idx="0">
                  <c:v>3</c:v>
                </c:pt>
                <c:pt idx="1">
                  <c:v>2.75</c:v>
                </c:pt>
                <c:pt idx="2">
                  <c:v>3</c:v>
                </c:pt>
                <c:pt idx="3">
                  <c:v>3</c:v>
                </c:pt>
                <c:pt idx="4">
                  <c:v>2.75</c:v>
                </c:pt>
                <c:pt idx="5">
                  <c:v>2.75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2.75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71-4B08-A8DA-26296734D00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99808239"/>
        <c:axId val="1699806575"/>
      </c:barChart>
      <c:catAx>
        <c:axId val="16998082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Herramienta-</a:t>
                </a:r>
                <a:r>
                  <a:rPr lang="es-AR" baseline="0"/>
                  <a:t> Modelo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699806575"/>
        <c:crosses val="autoZero"/>
        <c:auto val="1"/>
        <c:lblAlgn val="ctr"/>
        <c:lblOffset val="100"/>
        <c:noMultiLvlLbl val="0"/>
      </c:catAx>
      <c:valAx>
        <c:axId val="169980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Puntaje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699808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1297780</xdr:colOff>
      <xdr:row>28</xdr:row>
      <xdr:rowOff>33338</xdr:rowOff>
    </xdr:from>
    <xdr:to>
      <xdr:col>7</xdr:col>
      <xdr:colOff>2028030</xdr:colOff>
      <xdr:row>43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20C1577-2623-41B7-8C60-DC8A831495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zoomScale="80" zoomScaleNormal="80" workbookViewId="0">
      <selection activeCell="D11" sqref="D11"/>
    </sheetView>
  </sheetViews>
  <sheetFormatPr baseColWidth="10" defaultColWidth="8.7265625" defaultRowHeight="14.5" x14ac:dyDescent="0.35"/>
  <cols>
    <col min="3" max="3" width="15.1796875" customWidth="1"/>
    <col min="4" max="4" width="18.90625" customWidth="1"/>
    <col min="6" max="6" width="28.08984375" customWidth="1"/>
    <col min="7" max="7" width="26.90625" customWidth="1"/>
    <col min="8" max="8" width="38.26953125" customWidth="1"/>
    <col min="9" max="9" width="30.08984375" customWidth="1"/>
  </cols>
  <sheetData>
    <row r="1" spans="1:9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33</v>
      </c>
      <c r="G1" s="4" t="s">
        <v>34</v>
      </c>
      <c r="H1" s="4" t="s">
        <v>35</v>
      </c>
      <c r="I1" s="4" t="s">
        <v>36</v>
      </c>
    </row>
    <row r="2" spans="1:9" x14ac:dyDescent="0.35">
      <c r="A2" s="5" t="s">
        <v>5</v>
      </c>
      <c r="B2" s="6" t="s">
        <v>6</v>
      </c>
      <c r="C2" s="7" t="s">
        <v>7</v>
      </c>
      <c r="D2" s="7" t="s">
        <v>8</v>
      </c>
      <c r="E2" s="7" t="s">
        <v>9</v>
      </c>
      <c r="F2" s="8" t="s">
        <v>37</v>
      </c>
      <c r="G2" s="8" t="s">
        <v>37</v>
      </c>
      <c r="H2" s="8" t="s">
        <v>37</v>
      </c>
      <c r="I2" s="8" t="s">
        <v>37</v>
      </c>
    </row>
    <row r="3" spans="1:9" x14ac:dyDescent="0.35">
      <c r="A3" s="5" t="s">
        <v>10</v>
      </c>
      <c r="B3" s="6" t="s">
        <v>11</v>
      </c>
      <c r="C3" s="7" t="s">
        <v>12</v>
      </c>
      <c r="D3" s="7" t="s">
        <v>13</v>
      </c>
      <c r="E3" s="7" t="s">
        <v>14</v>
      </c>
      <c r="F3" s="8" t="s">
        <v>38</v>
      </c>
      <c r="G3" s="8" t="s">
        <v>37</v>
      </c>
      <c r="H3" s="8" t="s">
        <v>37</v>
      </c>
      <c r="I3" s="8" t="s">
        <v>37</v>
      </c>
    </row>
    <row r="4" spans="1:9" x14ac:dyDescent="0.35">
      <c r="A4" s="5" t="s">
        <v>15</v>
      </c>
      <c r="B4" s="6" t="s">
        <v>16</v>
      </c>
      <c r="C4" s="7" t="s">
        <v>12</v>
      </c>
      <c r="D4" s="7" t="s">
        <v>17</v>
      </c>
      <c r="E4" s="7" t="s">
        <v>9</v>
      </c>
      <c r="F4" s="8" t="s">
        <v>37</v>
      </c>
      <c r="G4" s="8" t="s">
        <v>37</v>
      </c>
      <c r="H4" s="8" t="s">
        <v>37</v>
      </c>
      <c r="I4" s="8" t="s">
        <v>37</v>
      </c>
    </row>
    <row r="5" spans="1:9" x14ac:dyDescent="0.35">
      <c r="A5" s="5" t="s">
        <v>18</v>
      </c>
      <c r="B5" s="6" t="s">
        <v>16</v>
      </c>
      <c r="C5" s="7" t="s">
        <v>12</v>
      </c>
      <c r="D5" s="7" t="s">
        <v>19</v>
      </c>
      <c r="E5" s="7" t="s">
        <v>9</v>
      </c>
      <c r="F5" s="8" t="s">
        <v>37</v>
      </c>
      <c r="G5" s="8" t="s">
        <v>37</v>
      </c>
      <c r="H5" s="8" t="s">
        <v>37</v>
      </c>
      <c r="I5" s="8" t="s">
        <v>37</v>
      </c>
    </row>
    <row r="6" spans="1:9" x14ac:dyDescent="0.35">
      <c r="A6" s="5" t="s">
        <v>20</v>
      </c>
      <c r="B6" s="6" t="s">
        <v>21</v>
      </c>
      <c r="C6" s="7" t="s">
        <v>22</v>
      </c>
      <c r="D6" s="7" t="s">
        <v>23</v>
      </c>
      <c r="E6" s="7" t="s">
        <v>14</v>
      </c>
      <c r="F6" s="8" t="s">
        <v>38</v>
      </c>
      <c r="G6" s="8" t="s">
        <v>37</v>
      </c>
      <c r="H6" s="8" t="s">
        <v>37</v>
      </c>
      <c r="I6" s="8" t="s">
        <v>37</v>
      </c>
    </row>
    <row r="7" spans="1:9" x14ac:dyDescent="0.35">
      <c r="A7" s="5" t="s">
        <v>24</v>
      </c>
      <c r="B7" s="6" t="s">
        <v>21</v>
      </c>
      <c r="C7" s="7" t="s">
        <v>22</v>
      </c>
      <c r="D7" s="7" t="s">
        <v>8</v>
      </c>
      <c r="E7" s="7" t="s">
        <v>14</v>
      </c>
      <c r="F7" s="8" t="s">
        <v>38</v>
      </c>
      <c r="G7" s="8" t="s">
        <v>37</v>
      </c>
      <c r="H7" s="8" t="s">
        <v>37</v>
      </c>
      <c r="I7" s="8" t="s">
        <v>37</v>
      </c>
    </row>
    <row r="8" spans="1:9" x14ac:dyDescent="0.35">
      <c r="A8" s="5" t="s">
        <v>25</v>
      </c>
      <c r="B8" s="6" t="s">
        <v>21</v>
      </c>
      <c r="C8" s="7" t="s">
        <v>22</v>
      </c>
      <c r="D8" s="7" t="s">
        <v>26</v>
      </c>
      <c r="E8" s="7" t="s">
        <v>14</v>
      </c>
      <c r="F8" s="8" t="s">
        <v>38</v>
      </c>
      <c r="G8" s="8" t="s">
        <v>38</v>
      </c>
      <c r="H8" s="8" t="s">
        <v>38</v>
      </c>
      <c r="I8" s="8" t="s">
        <v>38</v>
      </c>
    </row>
    <row r="9" spans="1:9" x14ac:dyDescent="0.35">
      <c r="A9" s="5" t="s">
        <v>27</v>
      </c>
      <c r="B9" s="6" t="s">
        <v>21</v>
      </c>
      <c r="C9" s="7" t="s">
        <v>22</v>
      </c>
      <c r="D9" s="7" t="s">
        <v>28</v>
      </c>
      <c r="E9" s="7" t="s">
        <v>14</v>
      </c>
      <c r="F9" s="8" t="s">
        <v>38</v>
      </c>
      <c r="G9" s="8" t="s">
        <v>38</v>
      </c>
      <c r="H9" s="8" t="s">
        <v>38</v>
      </c>
      <c r="I9" s="8" t="s">
        <v>38</v>
      </c>
    </row>
    <row r="10" spans="1:9" x14ac:dyDescent="0.35">
      <c r="A10" s="5" t="s">
        <v>29</v>
      </c>
      <c r="B10" s="6" t="s">
        <v>30</v>
      </c>
      <c r="C10" s="7" t="s">
        <v>12</v>
      </c>
      <c r="D10" s="7" t="s">
        <v>31</v>
      </c>
      <c r="E10" s="7" t="s">
        <v>9</v>
      </c>
      <c r="F10" s="8" t="s">
        <v>37</v>
      </c>
      <c r="G10" s="8" t="s">
        <v>37</v>
      </c>
      <c r="H10" s="8" t="s">
        <v>37</v>
      </c>
      <c r="I10" s="8" t="s">
        <v>37</v>
      </c>
    </row>
    <row r="11" spans="1:9" x14ac:dyDescent="0.35">
      <c r="A11" s="5" t="s">
        <v>18</v>
      </c>
      <c r="B11" s="6" t="s">
        <v>32</v>
      </c>
      <c r="C11" s="7" t="s">
        <v>12</v>
      </c>
      <c r="D11" s="7" t="s">
        <v>19</v>
      </c>
      <c r="E11" s="7" t="s">
        <v>14</v>
      </c>
      <c r="F11" s="8" t="s">
        <v>37</v>
      </c>
      <c r="G11" s="8" t="s">
        <v>38</v>
      </c>
      <c r="H11" s="8" t="s">
        <v>37</v>
      </c>
      <c r="I11" s="8" t="s">
        <v>37</v>
      </c>
    </row>
    <row r="14" spans="1:9" x14ac:dyDescent="0.35">
      <c r="A14" s="1" t="s">
        <v>39</v>
      </c>
      <c r="B14" s="1" t="s">
        <v>40</v>
      </c>
    </row>
    <row r="15" spans="1:9" x14ac:dyDescent="0.35">
      <c r="A15" s="9" t="s">
        <v>37</v>
      </c>
      <c r="B15" s="2">
        <v>3</v>
      </c>
    </row>
    <row r="16" spans="1:9" x14ac:dyDescent="0.35">
      <c r="A16" s="9" t="s">
        <v>38</v>
      </c>
      <c r="B16" s="2">
        <v>2</v>
      </c>
    </row>
    <row r="17" spans="1:2" x14ac:dyDescent="0.35">
      <c r="A17" s="9" t="s">
        <v>41</v>
      </c>
      <c r="B17" s="2">
        <v>1</v>
      </c>
    </row>
    <row r="18" spans="1:2" x14ac:dyDescent="0.35">
      <c r="A1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FFDFE-AE36-4199-B148-2F4BFF77C7FD}">
  <dimension ref="A1:J29"/>
  <sheetViews>
    <sheetView tabSelected="1" topLeftCell="A13" zoomScale="80" zoomScaleNormal="80" workbookViewId="0">
      <selection activeCell="A30" sqref="A30"/>
    </sheetView>
  </sheetViews>
  <sheetFormatPr baseColWidth="10" defaultColWidth="8.7265625" defaultRowHeight="14.5" x14ac:dyDescent="0.35"/>
  <cols>
    <col min="3" max="3" width="15.1796875" customWidth="1"/>
    <col min="4" max="4" width="18.90625" customWidth="1"/>
    <col min="6" max="6" width="28.08984375" customWidth="1"/>
    <col min="7" max="7" width="26.90625" customWidth="1"/>
    <col min="8" max="8" width="38.26953125" customWidth="1"/>
    <col min="9" max="9" width="30.08984375" customWidth="1"/>
    <col min="10" max="10" width="11.54296875" bestFit="1" customWidth="1"/>
  </cols>
  <sheetData>
    <row r="1" spans="1:9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33</v>
      </c>
      <c r="G1" s="4" t="s">
        <v>34</v>
      </c>
      <c r="H1" s="4" t="s">
        <v>35</v>
      </c>
      <c r="I1" s="4" t="s">
        <v>36</v>
      </c>
    </row>
    <row r="2" spans="1:9" x14ac:dyDescent="0.35">
      <c r="A2" s="5" t="s">
        <v>5</v>
      </c>
      <c r="B2" s="6" t="s">
        <v>6</v>
      </c>
      <c r="C2" s="7" t="s">
        <v>7</v>
      </c>
      <c r="D2" s="7" t="s">
        <v>8</v>
      </c>
      <c r="E2" s="7" t="s">
        <v>9</v>
      </c>
      <c r="F2" s="8" t="s">
        <v>37</v>
      </c>
      <c r="G2" s="8" t="s">
        <v>37</v>
      </c>
      <c r="H2" s="8" t="s">
        <v>37</v>
      </c>
      <c r="I2" s="8" t="s">
        <v>37</v>
      </c>
    </row>
    <row r="3" spans="1:9" x14ac:dyDescent="0.35">
      <c r="A3" s="5" t="s">
        <v>10</v>
      </c>
      <c r="B3" s="6" t="s">
        <v>11</v>
      </c>
      <c r="C3" s="7" t="s">
        <v>12</v>
      </c>
      <c r="D3" s="7" t="s">
        <v>13</v>
      </c>
      <c r="E3" s="7" t="s">
        <v>14</v>
      </c>
      <c r="F3" s="8" t="s">
        <v>38</v>
      </c>
      <c r="G3" s="8" t="s">
        <v>37</v>
      </c>
      <c r="H3" s="8" t="s">
        <v>37</v>
      </c>
      <c r="I3" s="8" t="s">
        <v>37</v>
      </c>
    </row>
    <row r="4" spans="1:9" x14ac:dyDescent="0.35">
      <c r="A4" s="5" t="s">
        <v>15</v>
      </c>
      <c r="B4" s="6" t="s">
        <v>16</v>
      </c>
      <c r="C4" s="7" t="s">
        <v>12</v>
      </c>
      <c r="D4" s="7" t="s">
        <v>17</v>
      </c>
      <c r="E4" s="7" t="s">
        <v>9</v>
      </c>
      <c r="F4" s="8" t="s">
        <v>37</v>
      </c>
      <c r="G4" s="8" t="s">
        <v>37</v>
      </c>
      <c r="H4" s="8" t="s">
        <v>37</v>
      </c>
      <c r="I4" s="8" t="s">
        <v>37</v>
      </c>
    </row>
    <row r="5" spans="1:9" x14ac:dyDescent="0.35">
      <c r="A5" s="5" t="s">
        <v>18</v>
      </c>
      <c r="B5" s="6" t="s">
        <v>16</v>
      </c>
      <c r="C5" s="7" t="s">
        <v>12</v>
      </c>
      <c r="D5" s="7" t="s">
        <v>19</v>
      </c>
      <c r="E5" s="7" t="s">
        <v>9</v>
      </c>
      <c r="F5" s="8" t="s">
        <v>37</v>
      </c>
      <c r="G5" s="8" t="s">
        <v>37</v>
      </c>
      <c r="H5" s="8" t="s">
        <v>37</v>
      </c>
      <c r="I5" s="8" t="s">
        <v>37</v>
      </c>
    </row>
    <row r="6" spans="1:9" x14ac:dyDescent="0.35">
      <c r="A6" s="5" t="s">
        <v>20</v>
      </c>
      <c r="B6" s="6" t="s">
        <v>21</v>
      </c>
      <c r="C6" s="7" t="s">
        <v>22</v>
      </c>
      <c r="D6" s="7" t="s">
        <v>23</v>
      </c>
      <c r="E6" s="7" t="s">
        <v>14</v>
      </c>
      <c r="F6" s="8" t="s">
        <v>38</v>
      </c>
      <c r="G6" s="8" t="s">
        <v>37</v>
      </c>
      <c r="H6" s="8" t="s">
        <v>37</v>
      </c>
      <c r="I6" s="8" t="s">
        <v>37</v>
      </c>
    </row>
    <row r="7" spans="1:9" x14ac:dyDescent="0.35">
      <c r="A7" s="5" t="s">
        <v>24</v>
      </c>
      <c r="B7" s="6" t="s">
        <v>21</v>
      </c>
      <c r="C7" s="7" t="s">
        <v>22</v>
      </c>
      <c r="D7" s="7" t="s">
        <v>8</v>
      </c>
      <c r="E7" s="7" t="s">
        <v>14</v>
      </c>
      <c r="F7" s="8" t="s">
        <v>38</v>
      </c>
      <c r="G7" s="8" t="s">
        <v>37</v>
      </c>
      <c r="H7" s="8" t="s">
        <v>37</v>
      </c>
      <c r="I7" s="8" t="s">
        <v>37</v>
      </c>
    </row>
    <row r="8" spans="1:9" x14ac:dyDescent="0.35">
      <c r="A8" s="5" t="s">
        <v>25</v>
      </c>
      <c r="B8" s="6" t="s">
        <v>21</v>
      </c>
      <c r="C8" s="7" t="s">
        <v>22</v>
      </c>
      <c r="D8" s="7" t="s">
        <v>26</v>
      </c>
      <c r="E8" s="7" t="s">
        <v>14</v>
      </c>
      <c r="F8" s="8" t="s">
        <v>38</v>
      </c>
      <c r="G8" s="8" t="s">
        <v>38</v>
      </c>
      <c r="H8" s="8" t="s">
        <v>38</v>
      </c>
      <c r="I8" s="8" t="s">
        <v>38</v>
      </c>
    </row>
    <row r="9" spans="1:9" x14ac:dyDescent="0.35">
      <c r="A9" s="5" t="s">
        <v>27</v>
      </c>
      <c r="B9" s="6" t="s">
        <v>21</v>
      </c>
      <c r="C9" s="7" t="s">
        <v>22</v>
      </c>
      <c r="D9" s="7" t="s">
        <v>28</v>
      </c>
      <c r="E9" s="7" t="s">
        <v>14</v>
      </c>
      <c r="F9" s="8" t="s">
        <v>38</v>
      </c>
      <c r="G9" s="8" t="s">
        <v>38</v>
      </c>
      <c r="H9" s="8" t="s">
        <v>38</v>
      </c>
      <c r="I9" s="8" t="s">
        <v>38</v>
      </c>
    </row>
    <row r="10" spans="1:9" x14ac:dyDescent="0.35">
      <c r="A10" s="5" t="s">
        <v>29</v>
      </c>
      <c r="B10" s="6" t="s">
        <v>30</v>
      </c>
      <c r="C10" s="7" t="s">
        <v>12</v>
      </c>
      <c r="D10" s="7" t="s">
        <v>31</v>
      </c>
      <c r="E10" s="7" t="s">
        <v>9</v>
      </c>
      <c r="F10" s="8" t="s">
        <v>37</v>
      </c>
      <c r="G10" s="8" t="s">
        <v>37</v>
      </c>
      <c r="H10" s="8" t="s">
        <v>37</v>
      </c>
      <c r="I10" s="8" t="s">
        <v>37</v>
      </c>
    </row>
    <row r="11" spans="1:9" x14ac:dyDescent="0.35">
      <c r="A11" s="5" t="s">
        <v>18</v>
      </c>
      <c r="B11" s="6" t="s">
        <v>32</v>
      </c>
      <c r="C11" s="7" t="s">
        <v>12</v>
      </c>
      <c r="D11" s="7" t="s">
        <v>19</v>
      </c>
      <c r="E11" s="7" t="s">
        <v>14</v>
      </c>
      <c r="F11" s="8" t="s">
        <v>37</v>
      </c>
      <c r="G11" s="8" t="s">
        <v>38</v>
      </c>
      <c r="H11" s="8" t="s">
        <v>37</v>
      </c>
      <c r="I11" s="8" t="s">
        <v>37</v>
      </c>
    </row>
    <row r="14" spans="1:9" x14ac:dyDescent="0.35">
      <c r="A14" s="1" t="s">
        <v>39</v>
      </c>
      <c r="B14" s="1" t="s">
        <v>40</v>
      </c>
    </row>
    <row r="15" spans="1:9" x14ac:dyDescent="0.35">
      <c r="A15" s="9" t="s">
        <v>37</v>
      </c>
      <c r="B15" s="2">
        <v>3</v>
      </c>
    </row>
    <row r="16" spans="1:9" x14ac:dyDescent="0.35">
      <c r="A16" s="9" t="s">
        <v>38</v>
      </c>
      <c r="B16" s="2">
        <v>2</v>
      </c>
    </row>
    <row r="17" spans="1:10" x14ac:dyDescent="0.35">
      <c r="A17" s="9" t="s">
        <v>41</v>
      </c>
      <c r="B17" s="2">
        <v>1</v>
      </c>
    </row>
    <row r="18" spans="1:10" x14ac:dyDescent="0.35">
      <c r="A18" s="10"/>
    </row>
    <row r="19" spans="1:10" x14ac:dyDescent="0.35">
      <c r="A19" s="3" t="s">
        <v>0</v>
      </c>
      <c r="B19" s="4" t="s">
        <v>1</v>
      </c>
      <c r="C19" s="4" t="s">
        <v>2</v>
      </c>
      <c r="D19" s="4" t="s">
        <v>3</v>
      </c>
      <c r="E19" s="4" t="s">
        <v>4</v>
      </c>
      <c r="F19" s="4" t="s">
        <v>33</v>
      </c>
      <c r="G19" s="4" t="s">
        <v>34</v>
      </c>
      <c r="H19" s="4" t="s">
        <v>35</v>
      </c>
      <c r="I19" s="4" t="s">
        <v>36</v>
      </c>
      <c r="J19" s="4" t="s">
        <v>40</v>
      </c>
    </row>
    <row r="20" spans="1:10" x14ac:dyDescent="0.35">
      <c r="A20" s="5" t="s">
        <v>42</v>
      </c>
      <c r="B20" s="6" t="s">
        <v>6</v>
      </c>
      <c r="C20" s="7" t="s">
        <v>7</v>
      </c>
      <c r="D20" s="7" t="s">
        <v>8</v>
      </c>
      <c r="E20" s="7" t="s">
        <v>9</v>
      </c>
      <c r="F20" s="8">
        <f>VLOOKUP(F2,$A$15:$B$17,2,FALSE)</f>
        <v>3</v>
      </c>
      <c r="G20" s="8">
        <f>VLOOKUP(G2,$A$15:$B$17,2,FALSE)</f>
        <v>3</v>
      </c>
      <c r="H20" s="8">
        <f t="shared" ref="H20:I29" si="0">VLOOKUP(H2,$A$15:$B$17,2,FALSE)</f>
        <v>3</v>
      </c>
      <c r="I20" s="8">
        <f t="shared" si="0"/>
        <v>3</v>
      </c>
      <c r="J20" s="8">
        <f>AVERAGE(F20:I20)</f>
        <v>3</v>
      </c>
    </row>
    <row r="21" spans="1:10" x14ac:dyDescent="0.35">
      <c r="A21" s="5" t="s">
        <v>43</v>
      </c>
      <c r="B21" s="6" t="s">
        <v>11</v>
      </c>
      <c r="C21" s="7" t="s">
        <v>12</v>
      </c>
      <c r="D21" s="7" t="s">
        <v>13</v>
      </c>
      <c r="E21" s="7" t="s">
        <v>14</v>
      </c>
      <c r="F21" s="8">
        <f t="shared" ref="F21:G29" si="1">VLOOKUP(F3,$A$15:$B$17,2,FALSE)</f>
        <v>2</v>
      </c>
      <c r="G21" s="8">
        <f t="shared" si="1"/>
        <v>3</v>
      </c>
      <c r="H21" s="8">
        <f t="shared" si="0"/>
        <v>3</v>
      </c>
      <c r="I21" s="8">
        <f t="shared" si="0"/>
        <v>3</v>
      </c>
      <c r="J21" s="8">
        <f>AVERAGE(F21:I21)</f>
        <v>2.75</v>
      </c>
    </row>
    <row r="22" spans="1:10" x14ac:dyDescent="0.35">
      <c r="A22" s="5" t="s">
        <v>44</v>
      </c>
      <c r="B22" s="6" t="s">
        <v>16</v>
      </c>
      <c r="C22" s="7" t="s">
        <v>12</v>
      </c>
      <c r="D22" s="7" t="s">
        <v>17</v>
      </c>
      <c r="E22" s="7" t="s">
        <v>9</v>
      </c>
      <c r="F22" s="8">
        <f t="shared" si="1"/>
        <v>3</v>
      </c>
      <c r="G22" s="8">
        <f t="shared" si="1"/>
        <v>3</v>
      </c>
      <c r="H22" s="8">
        <f t="shared" si="0"/>
        <v>3</v>
      </c>
      <c r="I22" s="8">
        <f t="shared" si="0"/>
        <v>3</v>
      </c>
      <c r="J22" s="8">
        <f t="shared" ref="J22:J29" si="2">AVERAGE(F22:I22)</f>
        <v>3</v>
      </c>
    </row>
    <row r="23" spans="1:10" x14ac:dyDescent="0.35">
      <c r="A23" s="5" t="s">
        <v>45</v>
      </c>
      <c r="B23" s="6" t="s">
        <v>16</v>
      </c>
      <c r="C23" s="7" t="s">
        <v>12</v>
      </c>
      <c r="D23" s="7" t="s">
        <v>19</v>
      </c>
      <c r="E23" s="7" t="s">
        <v>9</v>
      </c>
      <c r="F23" s="8">
        <f t="shared" si="1"/>
        <v>3</v>
      </c>
      <c r="G23" s="8">
        <f t="shared" si="1"/>
        <v>3</v>
      </c>
      <c r="H23" s="8">
        <f t="shared" si="0"/>
        <v>3</v>
      </c>
      <c r="I23" s="8">
        <f t="shared" si="0"/>
        <v>3</v>
      </c>
      <c r="J23" s="8">
        <f t="shared" si="2"/>
        <v>3</v>
      </c>
    </row>
    <row r="24" spans="1:10" x14ac:dyDescent="0.35">
      <c r="A24" s="5" t="s">
        <v>47</v>
      </c>
      <c r="B24" s="6" t="s">
        <v>21</v>
      </c>
      <c r="C24" s="7" t="s">
        <v>22</v>
      </c>
      <c r="D24" s="7" t="s">
        <v>23</v>
      </c>
      <c r="E24" s="7" t="s">
        <v>14</v>
      </c>
      <c r="F24" s="8">
        <f t="shared" si="1"/>
        <v>2</v>
      </c>
      <c r="G24" s="8">
        <f t="shared" si="1"/>
        <v>3</v>
      </c>
      <c r="H24" s="8">
        <f t="shared" si="0"/>
        <v>3</v>
      </c>
      <c r="I24" s="8">
        <f t="shared" si="0"/>
        <v>3</v>
      </c>
      <c r="J24" s="8">
        <f t="shared" si="2"/>
        <v>2.75</v>
      </c>
    </row>
    <row r="25" spans="1:10" x14ac:dyDescent="0.35">
      <c r="A25" s="5" t="s">
        <v>46</v>
      </c>
      <c r="B25" s="6" t="s">
        <v>21</v>
      </c>
      <c r="C25" s="7" t="s">
        <v>22</v>
      </c>
      <c r="D25" s="7" t="s">
        <v>8</v>
      </c>
      <c r="E25" s="7" t="s">
        <v>14</v>
      </c>
      <c r="F25" s="8">
        <f t="shared" si="1"/>
        <v>2</v>
      </c>
      <c r="G25" s="8">
        <f t="shared" si="1"/>
        <v>3</v>
      </c>
      <c r="H25" s="8">
        <f t="shared" si="0"/>
        <v>3</v>
      </c>
      <c r="I25" s="8">
        <f t="shared" si="0"/>
        <v>3</v>
      </c>
      <c r="J25" s="8">
        <f t="shared" si="2"/>
        <v>2.75</v>
      </c>
    </row>
    <row r="26" spans="1:10" x14ac:dyDescent="0.35">
      <c r="A26" s="5" t="s">
        <v>48</v>
      </c>
      <c r="B26" s="6" t="s">
        <v>21</v>
      </c>
      <c r="C26" s="7" t="s">
        <v>22</v>
      </c>
      <c r="D26" s="7" t="s">
        <v>26</v>
      </c>
      <c r="E26" s="7" t="s">
        <v>14</v>
      </c>
      <c r="F26" s="8">
        <f t="shared" si="1"/>
        <v>2</v>
      </c>
      <c r="G26" s="8">
        <f t="shared" si="1"/>
        <v>2</v>
      </c>
      <c r="H26" s="8">
        <f t="shared" si="0"/>
        <v>2</v>
      </c>
      <c r="I26" s="8">
        <f t="shared" si="0"/>
        <v>2</v>
      </c>
      <c r="J26" s="8">
        <f t="shared" si="2"/>
        <v>2</v>
      </c>
    </row>
    <row r="27" spans="1:10" x14ac:dyDescent="0.35">
      <c r="A27" s="5" t="s">
        <v>49</v>
      </c>
      <c r="B27" s="6" t="s">
        <v>21</v>
      </c>
      <c r="C27" s="7" t="s">
        <v>22</v>
      </c>
      <c r="D27" s="7" t="s">
        <v>28</v>
      </c>
      <c r="E27" s="7" t="s">
        <v>14</v>
      </c>
      <c r="F27" s="8">
        <f t="shared" si="1"/>
        <v>2</v>
      </c>
      <c r="G27" s="8">
        <f t="shared" si="1"/>
        <v>2</v>
      </c>
      <c r="H27" s="8">
        <f t="shared" si="0"/>
        <v>2</v>
      </c>
      <c r="I27" s="8">
        <f t="shared" si="0"/>
        <v>2</v>
      </c>
      <c r="J27" s="8">
        <f t="shared" si="2"/>
        <v>2</v>
      </c>
    </row>
    <row r="28" spans="1:10" x14ac:dyDescent="0.35">
      <c r="A28" s="5" t="s">
        <v>50</v>
      </c>
      <c r="B28" s="6" t="s">
        <v>30</v>
      </c>
      <c r="C28" s="7" t="s">
        <v>12</v>
      </c>
      <c r="D28" s="7" t="s">
        <v>31</v>
      </c>
      <c r="E28" s="7" t="s">
        <v>9</v>
      </c>
      <c r="F28" s="8">
        <f t="shared" si="1"/>
        <v>3</v>
      </c>
      <c r="G28" s="8">
        <f t="shared" si="1"/>
        <v>3</v>
      </c>
      <c r="H28" s="8">
        <f t="shared" si="0"/>
        <v>3</v>
      </c>
      <c r="I28" s="8">
        <f t="shared" si="0"/>
        <v>3</v>
      </c>
      <c r="J28" s="8">
        <f t="shared" si="2"/>
        <v>3</v>
      </c>
    </row>
    <row r="29" spans="1:10" x14ac:dyDescent="0.35">
      <c r="A29" s="5" t="s">
        <v>51</v>
      </c>
      <c r="B29" s="6" t="s">
        <v>32</v>
      </c>
      <c r="C29" s="7" t="s">
        <v>12</v>
      </c>
      <c r="D29" s="7" t="s">
        <v>19</v>
      </c>
      <c r="E29" s="7" t="s">
        <v>14</v>
      </c>
      <c r="F29" s="8">
        <f t="shared" si="1"/>
        <v>3</v>
      </c>
      <c r="G29" s="8">
        <f t="shared" si="1"/>
        <v>2</v>
      </c>
      <c r="H29" s="8">
        <f t="shared" si="0"/>
        <v>3</v>
      </c>
      <c r="I29" s="8">
        <f t="shared" si="0"/>
        <v>3</v>
      </c>
      <c r="J29" s="8">
        <f t="shared" si="2"/>
        <v>2.75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A5924-92C9-4C5A-9A1E-DB641B9A94B7}">
  <dimension ref="A1"/>
  <sheetViews>
    <sheetView topLeftCell="G1" workbookViewId="0">
      <selection activeCell="N12" sqref="N12"/>
    </sheetView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Rubrica cualitativa</vt:lpstr>
      <vt:lpstr>Rubrica cuantitativa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.</dc:creator>
  <cp:lastModifiedBy>ESTEBAN CARNUCCIO</cp:lastModifiedBy>
  <dcterms:created xsi:type="dcterms:W3CDTF">2015-06-05T18:19:34Z</dcterms:created>
  <dcterms:modified xsi:type="dcterms:W3CDTF">2026-06-12T22:14:59Z</dcterms:modified>
</cp:coreProperties>
</file>