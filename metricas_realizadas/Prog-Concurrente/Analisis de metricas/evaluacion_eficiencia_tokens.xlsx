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BFB01E4A-7031-4296-9A09-F4EF99E1C97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os" sheetId="1" r:id="rId1"/>
    <sheet name="Para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P11" i="1" s="1"/>
  <c r="Q11" i="1" s="1"/>
  <c r="N11" i="1"/>
  <c r="O10" i="1"/>
  <c r="P10" i="1" s="1"/>
  <c r="Q10" i="1" s="1"/>
  <c r="N10" i="1"/>
  <c r="P9" i="1"/>
  <c r="Q9" i="1" s="1"/>
  <c r="O9" i="1"/>
  <c r="N9" i="1"/>
  <c r="O8" i="1"/>
  <c r="P8" i="1" s="1"/>
  <c r="Q8" i="1" s="1"/>
  <c r="N8" i="1"/>
  <c r="O7" i="1"/>
  <c r="P7" i="1" s="1"/>
  <c r="Q7" i="1" s="1"/>
  <c r="N7" i="1"/>
  <c r="P6" i="1"/>
  <c r="Q6" i="1" s="1"/>
  <c r="O6" i="1"/>
  <c r="N6" i="1"/>
  <c r="O5" i="1"/>
  <c r="P5" i="1" s="1"/>
  <c r="Q5" i="1" s="1"/>
  <c r="N5" i="1"/>
  <c r="O4" i="1"/>
  <c r="P4" i="1" s="1"/>
  <c r="Q4" i="1" s="1"/>
  <c r="N4" i="1"/>
  <c r="P3" i="1"/>
  <c r="Q3" i="1" s="1"/>
  <c r="O3" i="1"/>
  <c r="N3" i="1"/>
  <c r="O2" i="1"/>
  <c r="P2" i="1" s="1"/>
  <c r="Q2" i="1" s="1"/>
  <c r="N2" i="1"/>
</calcChain>
</file>

<file path=xl/sharedStrings.xml><?xml version="1.0" encoding="utf-8"?>
<sst xmlns="http://schemas.openxmlformats.org/spreadsheetml/2006/main" count="80" uniqueCount="58">
  <si>
    <t>N°</t>
  </si>
  <si>
    <t>Grupo</t>
  </si>
  <si>
    <t>Herramienta</t>
  </si>
  <si>
    <t>Modelo</t>
  </si>
  <si>
    <t>Lenguaje</t>
  </si>
  <si>
    <t>avgCCN</t>
  </si>
  <si>
    <t>MI</t>
  </si>
  <si>
    <t>NLOC Total</t>
  </si>
  <si>
    <t>NLOC Prom</t>
  </si>
  <si>
    <t>Issues/KLOC</t>
  </si>
  <si>
    <t>Críticos</t>
  </si>
  <si>
    <t>Refinamientos</t>
  </si>
  <si>
    <t>Tokens registrados</t>
  </si>
  <si>
    <t>Eficiencia (redondeada)</t>
  </si>
  <si>
    <t>Eficiencia de generación (NLOC/1.000 tokens)</t>
  </si>
  <si>
    <t>Eficiencia ajustada</t>
  </si>
  <si>
    <t>Nivel de eficiencia</t>
  </si>
  <si>
    <t>CI-S</t>
  </si>
  <si>
    <t>M1</t>
  </si>
  <si>
    <t>claude.ia</t>
  </si>
  <si>
    <t>Sonnet</t>
  </si>
  <si>
    <t>Java</t>
  </si>
  <si>
    <t>CC-HSO</t>
  </si>
  <si>
    <t>M2</t>
  </si>
  <si>
    <t>Claude Code</t>
  </si>
  <si>
    <t>Haiku+Sonnet+Opus</t>
  </si>
  <si>
    <t>Python</t>
  </si>
  <si>
    <t>CC-H</t>
  </si>
  <si>
    <t>M3</t>
  </si>
  <si>
    <t>Haiku</t>
  </si>
  <si>
    <t>CC-O</t>
  </si>
  <si>
    <t>Opus</t>
  </si>
  <si>
    <t>W-GE</t>
  </si>
  <si>
    <t>M4</t>
  </si>
  <si>
    <t>Web/IDE</t>
  </si>
  <si>
    <t>Gemini Pro</t>
  </si>
  <si>
    <t>W-S</t>
  </si>
  <si>
    <t>W-GP</t>
  </si>
  <si>
    <t>GPT Mini</t>
  </si>
  <si>
    <t>W-D</t>
  </si>
  <si>
    <t>Deepseek</t>
  </si>
  <si>
    <t>CC-SO</t>
  </si>
  <si>
    <t>M5</t>
  </si>
  <si>
    <t>Sonnet+Opus</t>
  </si>
  <si>
    <t>M6</t>
  </si>
  <si>
    <t>Parámetro</t>
  </si>
  <si>
    <t>Valor</t>
  </si>
  <si>
    <t>Descripción</t>
  </si>
  <si>
    <t>Penalización por refinamiento</t>
  </si>
  <si>
    <t>Factor aplicado a cada refinamiento</t>
  </si>
  <si>
    <t>Umbral bajo</t>
  </si>
  <si>
    <t>Menor que este valor: eficiencia baja</t>
  </si>
  <si>
    <t>Umbral alto</t>
  </si>
  <si>
    <t>Desde este valor: eficiencia alta</t>
  </si>
  <si>
    <t>Fórmula base</t>
  </si>
  <si>
    <t>NLOC Total × 1.000 / Tokens registrados</t>
  </si>
  <si>
    <t>Fórmula ajustada</t>
  </si>
  <si>
    <t>Eficiencia base / (1 + penalización × refinamientos)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</si>
</sst>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000000"/>
      <name val="Aptos"/>
    </font>
    <font>
      <sz val="10"/>
      <name val="Aptos"/>
    </font>
    <font>
      <b/>
      <sz val="11"/>
      <color rgb="FFFFFFFF"/>
      <name val="Carlito"/>
    </font>
    <font>
      <b/>
      <sz val="11"/>
      <color rgb="FF9C65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/>
    </xf>
    <xf numFmtId="2" fontId="2" fillId="0" borderId="2" xfId="0" applyNumberFormat="1" applyFont="1" applyFill="1" applyBorder="1" applyAlignment="1">
      <alignment horizontal="right"/>
    </xf>
    <xf numFmtId="3" fontId="2" fillId="0" borderId="2" xfId="0" applyNumberFormat="1" applyFont="1" applyFill="1" applyBorder="1" applyAlignment="1">
      <alignment horizontal="right"/>
    </xf>
    <xf numFmtId="0" fontId="2" fillId="0" borderId="2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center"/>
    </xf>
    <xf numFmtId="9" fontId="4" fillId="4" borderId="2" xfId="0" applyNumberFormat="1" applyFont="1" applyFill="1" applyBorder="1" applyAlignment="1">
      <alignment horizontal="right"/>
    </xf>
    <xf numFmtId="2" fontId="4" fillId="4" borderId="2" xfId="0" applyNumberFormat="1" applyFont="1" applyFill="1" applyBorder="1" applyAlignment="1">
      <alignment horizontal="right"/>
    </xf>
    <xf numFmtId="0" fontId="0" fillId="5" borderId="0" xfId="0" applyNumberFormat="1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ficiencia" displayName="TablaEficiencia" ref="A1:Q11" totalsRowShown="0">
  <tableColumns count="17">
    <tableColumn id="1" xr3:uid="{00000000-0010-0000-0000-000001000000}" name="N°"/>
    <tableColumn id="2" xr3:uid="{00000000-0010-0000-0000-000002000000}" name="Grupo"/>
    <tableColumn id="3" xr3:uid="{00000000-0010-0000-0000-000003000000}" name="Herramienta"/>
    <tableColumn id="4" xr3:uid="{00000000-0010-0000-0000-000004000000}" name="Modelo"/>
    <tableColumn id="5" xr3:uid="{00000000-0010-0000-0000-000005000000}" name="Lenguaje"/>
    <tableColumn id="6" xr3:uid="{00000000-0010-0000-0000-000006000000}" name="avgCCN"/>
    <tableColumn id="7" xr3:uid="{00000000-0010-0000-0000-000007000000}" name="MI"/>
    <tableColumn id="8" xr3:uid="{00000000-0010-0000-0000-000008000000}" name="NLOC Total"/>
    <tableColumn id="9" xr3:uid="{00000000-0010-0000-0000-000009000000}" name="NLOC Prom"/>
    <tableColumn id="10" xr3:uid="{00000000-0010-0000-0000-00000A000000}" name="Issues/KLOC"/>
    <tableColumn id="11" xr3:uid="{00000000-0010-0000-0000-00000B000000}" name="Críticos"/>
    <tableColumn id="12" xr3:uid="{00000000-0010-0000-0000-00000C000000}" name="Refinamientos"/>
    <tableColumn id="13" xr3:uid="{00000000-0010-0000-0000-00000D000000}" name="Tokens registrados"/>
    <tableColumn id="14" xr3:uid="{00000000-0010-0000-0000-00000E000000}" name="Eficiencia (redondeada)"/>
    <tableColumn id="15" xr3:uid="{00000000-0010-0000-0000-00000F000000}" name="Eficiencia de generación (NLOC/1.000 tokens)"/>
    <tableColumn id="16" xr3:uid="{00000000-0010-0000-0000-000010000000}" name="Eficiencia ajustada"/>
    <tableColumn id="17" xr3:uid="{00000000-0010-0000-0000-000011000000}" name="Nivel de efici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showGridLines="0" workbookViewId="0"/>
  </sheetViews>
  <sheetFormatPr baseColWidth="10" defaultColWidth="8.6640625" defaultRowHeight="14"/>
  <cols>
    <col min="1" max="1" width="6.33203125" customWidth="1"/>
    <col min="2" max="2" width="4.9140625" customWidth="1"/>
    <col min="3" max="3" width="16" customWidth="1"/>
    <col min="4" max="4" width="20" customWidth="1"/>
    <col min="5" max="5" width="7" customWidth="1"/>
    <col min="6" max="6" width="6.25" customWidth="1"/>
    <col min="7" max="7" width="16.83203125" customWidth="1"/>
    <col min="8" max="8" width="8.6640625" customWidth="1"/>
    <col min="9" max="9" width="8.9140625" customWidth="1"/>
    <col min="10" max="10" width="9.6640625" customWidth="1"/>
    <col min="11" max="11" width="6" customWidth="1"/>
    <col min="12" max="12" width="10.6640625" customWidth="1"/>
    <col min="13" max="13" width="14.08203125" customWidth="1"/>
    <col min="14" max="14" width="17.25" customWidth="1"/>
    <col min="15" max="15" width="28" customWidth="1"/>
    <col min="16" max="17" width="18" customWidth="1"/>
  </cols>
  <sheetData>
    <row r="1" spans="1:17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4">
        <v>1.45</v>
      </c>
      <c r="G2" s="4">
        <v>50.4</v>
      </c>
      <c r="H2" s="5">
        <v>247</v>
      </c>
      <c r="I2" s="4">
        <v>6.17</v>
      </c>
      <c r="J2" s="4">
        <v>13.16</v>
      </c>
      <c r="K2" s="5">
        <v>2</v>
      </c>
      <c r="L2" s="5">
        <v>3</v>
      </c>
      <c r="M2" s="5">
        <v>3180</v>
      </c>
      <c r="N2" s="5">
        <f t="shared" ref="N2:N11" si="0">IF(OR(M2="",M2&lt;=0),"",ROUND((H2/M2)*1000,0))</f>
        <v>78</v>
      </c>
      <c r="O2" s="4">
        <f t="shared" ref="O2:O11" si="1">IF(OR(M2="",M2&lt;=0),"",ROUND((H2/M2)*1000,2))</f>
        <v>77.67</v>
      </c>
      <c r="P2" s="4">
        <f>IF(O2="","",ROUND(O2/(1+Parametros!$B$2*L2),2))</f>
        <v>59.75</v>
      </c>
      <c r="Q2" s="6" t="str">
        <f>IF(P2="","No evaluable",IF(P2&lt;Parametros!$B$3,"Baja",IF(P2&lt;Parametros!$B$4,"Media","Alta")))</f>
        <v>Alta</v>
      </c>
    </row>
    <row r="3" spans="1:17" ht="15" customHeight="1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4">
        <v>2.74</v>
      </c>
      <c r="G3" s="4">
        <v>42.6</v>
      </c>
      <c r="H3" s="5">
        <v>948</v>
      </c>
      <c r="I3" s="4">
        <v>13.94</v>
      </c>
      <c r="J3" s="4">
        <v>129.06</v>
      </c>
      <c r="K3" s="5">
        <v>39</v>
      </c>
      <c r="L3" s="5">
        <v>9</v>
      </c>
      <c r="M3" s="5">
        <v>8078197</v>
      </c>
      <c r="N3" s="5">
        <f t="shared" si="0"/>
        <v>0</v>
      </c>
      <c r="O3" s="4">
        <f t="shared" si="1"/>
        <v>0.12</v>
      </c>
      <c r="P3" s="4">
        <f>IF(O3="","",ROUND(O3/(1+Parametros!$B$2*L3),2))</f>
        <v>0.06</v>
      </c>
      <c r="Q3" s="6" t="str">
        <f>IF(P3="","No evaluable",IF(P3&lt;Parametros!$B$3,"Baja",IF(P3&lt;Parametros!$B$4,"Media","Alta")))</f>
        <v>Baja</v>
      </c>
    </row>
    <row r="4" spans="1:17" ht="15" customHeight="1">
      <c r="A4" s="3" t="s">
        <v>27</v>
      </c>
      <c r="B4" s="3" t="s">
        <v>28</v>
      </c>
      <c r="C4" s="3" t="s">
        <v>24</v>
      </c>
      <c r="D4" s="3" t="s">
        <v>29</v>
      </c>
      <c r="E4" s="3" t="s">
        <v>21</v>
      </c>
      <c r="F4" s="4">
        <v>2.1800000000000002</v>
      </c>
      <c r="G4" s="4">
        <v>47.2</v>
      </c>
      <c r="H4" s="5">
        <v>531</v>
      </c>
      <c r="I4" s="4">
        <v>10.41</v>
      </c>
      <c r="J4" s="4">
        <v>59.77</v>
      </c>
      <c r="K4" s="5">
        <v>22</v>
      </c>
      <c r="L4" s="5">
        <v>2</v>
      </c>
      <c r="M4" s="5">
        <v>67600</v>
      </c>
      <c r="N4" s="5">
        <f t="shared" si="0"/>
        <v>8</v>
      </c>
      <c r="O4" s="4">
        <f t="shared" si="1"/>
        <v>7.86</v>
      </c>
      <c r="P4" s="4">
        <f>IF(O4="","",ROUND(O4/(1+Parametros!$B$2*L4),2))</f>
        <v>6.55</v>
      </c>
      <c r="Q4" s="6" t="str">
        <f>IF(P4="","No evaluable",IF(P4&lt;Parametros!$B$3,"Baja",IF(P4&lt;Parametros!$B$4,"Media","Alta")))</f>
        <v>Baja</v>
      </c>
    </row>
    <row r="5" spans="1:17" ht="15" customHeight="1">
      <c r="A5" s="3" t="s">
        <v>30</v>
      </c>
      <c r="B5" s="3" t="s">
        <v>28</v>
      </c>
      <c r="C5" s="3" t="s">
        <v>24</v>
      </c>
      <c r="D5" s="3" t="s">
        <v>31</v>
      </c>
      <c r="E5" s="3" t="s">
        <v>21</v>
      </c>
      <c r="F5" s="4">
        <v>2.84</v>
      </c>
      <c r="G5" s="4">
        <v>51.5</v>
      </c>
      <c r="H5" s="5">
        <v>432</v>
      </c>
      <c r="I5" s="4">
        <v>11.68</v>
      </c>
      <c r="J5" s="4">
        <v>54.49</v>
      </c>
      <c r="K5" s="5">
        <v>7</v>
      </c>
      <c r="L5" s="5">
        <v>2</v>
      </c>
      <c r="M5" s="5">
        <v>134500</v>
      </c>
      <c r="N5" s="5">
        <f t="shared" si="0"/>
        <v>3</v>
      </c>
      <c r="O5" s="4">
        <f t="shared" si="1"/>
        <v>3.21</v>
      </c>
      <c r="P5" s="4">
        <f>IF(O5="","",ROUND(O5/(1+Parametros!$B$2*L5),2))</f>
        <v>2.68</v>
      </c>
      <c r="Q5" s="6" t="str">
        <f>IF(P5="","No evaluable",IF(P5&lt;Parametros!$B$3,"Baja",IF(P5&lt;Parametros!$B$4,"Media","Alta")))</f>
        <v>Baja</v>
      </c>
    </row>
    <row r="6" spans="1:17" ht="15" customHeight="1">
      <c r="A6" s="3" t="s">
        <v>32</v>
      </c>
      <c r="B6" s="3" t="s">
        <v>33</v>
      </c>
      <c r="C6" s="3" t="s">
        <v>34</v>
      </c>
      <c r="D6" s="3" t="s">
        <v>35</v>
      </c>
      <c r="E6" s="3" t="s">
        <v>26</v>
      </c>
      <c r="F6" s="4">
        <v>2.6</v>
      </c>
      <c r="G6" s="4">
        <v>29.2</v>
      </c>
      <c r="H6" s="5">
        <v>170</v>
      </c>
      <c r="I6" s="4">
        <v>11.33</v>
      </c>
      <c r="J6" s="4">
        <v>228.26</v>
      </c>
      <c r="K6" s="5">
        <v>0</v>
      </c>
      <c r="L6" s="5">
        <v>0</v>
      </c>
      <c r="M6" s="5">
        <v>2800</v>
      </c>
      <c r="N6" s="5">
        <f t="shared" si="0"/>
        <v>61</v>
      </c>
      <c r="O6" s="4">
        <f t="shared" si="1"/>
        <v>60.71</v>
      </c>
      <c r="P6" s="4">
        <f>IF(O6="","",ROUND(O6/(1+Parametros!$B$2*L6),2))</f>
        <v>60.71</v>
      </c>
      <c r="Q6" s="6" t="str">
        <f>IF(P6="","No evaluable",IF(P6&lt;Parametros!$B$3,"Baja",IF(P6&lt;Parametros!$B$4,"Media","Alta")))</f>
        <v>Alta</v>
      </c>
    </row>
    <row r="7" spans="1:17" ht="15" customHeight="1">
      <c r="A7" s="3" t="s">
        <v>36</v>
      </c>
      <c r="B7" s="3" t="s">
        <v>33</v>
      </c>
      <c r="C7" s="3" t="s">
        <v>34</v>
      </c>
      <c r="D7" s="3" t="s">
        <v>20</v>
      </c>
      <c r="E7" s="3" t="s">
        <v>26</v>
      </c>
      <c r="F7" s="4">
        <v>2.3199999999999998</v>
      </c>
      <c r="G7" s="4">
        <v>22.1</v>
      </c>
      <c r="H7" s="5">
        <v>311</v>
      </c>
      <c r="I7" s="4">
        <v>12.44</v>
      </c>
      <c r="J7" s="4">
        <v>109.13</v>
      </c>
      <c r="K7" s="5">
        <v>0</v>
      </c>
      <c r="L7" s="5">
        <v>1</v>
      </c>
      <c r="M7" s="5">
        <v>7418</v>
      </c>
      <c r="N7" s="5">
        <f t="shared" si="0"/>
        <v>42</v>
      </c>
      <c r="O7" s="4">
        <f t="shared" si="1"/>
        <v>41.93</v>
      </c>
      <c r="P7" s="4">
        <f>IF(O7="","",ROUND(O7/(1+Parametros!$B$2*L7),2))</f>
        <v>38.119999999999997</v>
      </c>
      <c r="Q7" s="6" t="str">
        <f>IF(P7="","No evaluable",IF(P7&lt;Parametros!$B$3,"Baja",IF(P7&lt;Parametros!$B$4,"Media","Alta")))</f>
        <v>Alta</v>
      </c>
    </row>
    <row r="8" spans="1:17" ht="15" customHeight="1">
      <c r="A8" s="3" t="s">
        <v>37</v>
      </c>
      <c r="B8" s="3" t="s">
        <v>33</v>
      </c>
      <c r="C8" s="3" t="s">
        <v>34</v>
      </c>
      <c r="D8" s="3" t="s">
        <v>38</v>
      </c>
      <c r="E8" s="3" t="s">
        <v>26</v>
      </c>
      <c r="F8" s="4">
        <v>3.4</v>
      </c>
      <c r="G8" s="4">
        <v>26</v>
      </c>
      <c r="H8" s="5">
        <v>213</v>
      </c>
      <c r="I8" s="4">
        <v>14.2</v>
      </c>
      <c r="J8" s="4">
        <v>174.34</v>
      </c>
      <c r="K8" s="5">
        <v>0</v>
      </c>
      <c r="L8" s="5">
        <v>0</v>
      </c>
      <c r="M8" s="5">
        <v>5955</v>
      </c>
      <c r="N8" s="5">
        <f t="shared" si="0"/>
        <v>36</v>
      </c>
      <c r="O8" s="4">
        <f t="shared" si="1"/>
        <v>35.770000000000003</v>
      </c>
      <c r="P8" s="4">
        <f>IF(O8="","",ROUND(O8/(1+Parametros!$B$2*L8),2))</f>
        <v>35.770000000000003</v>
      </c>
      <c r="Q8" s="6" t="str">
        <f>IF(P8="","No evaluable",IF(P8&lt;Parametros!$B$3,"Baja",IF(P8&lt;Parametros!$B$4,"Media","Alta")))</f>
        <v>Alta</v>
      </c>
    </row>
    <row r="9" spans="1:17" ht="15" customHeight="1">
      <c r="A9" s="3" t="s">
        <v>39</v>
      </c>
      <c r="B9" s="3" t="s">
        <v>33</v>
      </c>
      <c r="C9" s="3" t="s">
        <v>34</v>
      </c>
      <c r="D9" s="3" t="s">
        <v>40</v>
      </c>
      <c r="E9" s="3" t="s">
        <v>26</v>
      </c>
      <c r="F9" s="4">
        <v>3.29</v>
      </c>
      <c r="G9" s="4">
        <v>21.9</v>
      </c>
      <c r="H9" s="5">
        <v>319</v>
      </c>
      <c r="I9" s="4">
        <v>18.760000000000002</v>
      </c>
      <c r="J9" s="4">
        <v>115.68</v>
      </c>
      <c r="K9" s="5">
        <v>0</v>
      </c>
      <c r="L9" s="5">
        <v>0</v>
      </c>
      <c r="M9" s="5">
        <v>6670</v>
      </c>
      <c r="N9" s="5">
        <f t="shared" si="0"/>
        <v>48</v>
      </c>
      <c r="O9" s="4">
        <f t="shared" si="1"/>
        <v>47.83</v>
      </c>
      <c r="P9" s="4">
        <f>IF(O9="","",ROUND(O9/(1+Parametros!$B$2*L9),2))</f>
        <v>47.83</v>
      </c>
      <c r="Q9" s="6" t="str">
        <f>IF(P9="","No evaluable",IF(P9&lt;Parametros!$B$3,"Baja",IF(P9&lt;Parametros!$B$4,"Media","Alta")))</f>
        <v>Alta</v>
      </c>
    </row>
    <row r="10" spans="1:17" ht="15" customHeight="1">
      <c r="A10" s="3" t="s">
        <v>41</v>
      </c>
      <c r="B10" s="3" t="s">
        <v>42</v>
      </c>
      <c r="C10" s="3" t="s">
        <v>24</v>
      </c>
      <c r="D10" s="3" t="s">
        <v>43</v>
      </c>
      <c r="E10" s="3" t="s">
        <v>21</v>
      </c>
      <c r="F10" s="4">
        <v>2.25</v>
      </c>
      <c r="G10" s="4">
        <v>41.7</v>
      </c>
      <c r="H10" s="5">
        <v>6536</v>
      </c>
      <c r="I10" s="4">
        <v>7.16</v>
      </c>
      <c r="J10" s="4">
        <v>22.41</v>
      </c>
      <c r="K10" s="5">
        <v>2</v>
      </c>
      <c r="L10" s="5">
        <v>80</v>
      </c>
      <c r="M10" s="5">
        <v>750000</v>
      </c>
      <c r="N10" s="5">
        <f t="shared" si="0"/>
        <v>9</v>
      </c>
      <c r="O10" s="4">
        <f t="shared" si="1"/>
        <v>8.7100000000000009</v>
      </c>
      <c r="P10" s="4">
        <f>IF(O10="","",ROUND(O10/(1+Parametros!$B$2*L10),2))</f>
        <v>0.97</v>
      </c>
      <c r="Q10" s="6" t="str">
        <f>IF(P10="","No evaluable",IF(P10&lt;Parametros!$B$3,"Baja",IF(P10&lt;Parametros!$B$4,"Media","Alta")))</f>
        <v>Baja</v>
      </c>
    </row>
    <row r="11" spans="1:17" ht="15" customHeight="1">
      <c r="A11" s="3" t="s">
        <v>30</v>
      </c>
      <c r="B11" s="3" t="s">
        <v>44</v>
      </c>
      <c r="C11" s="3" t="s">
        <v>24</v>
      </c>
      <c r="D11" s="3" t="s">
        <v>31</v>
      </c>
      <c r="E11" s="3" t="s">
        <v>26</v>
      </c>
      <c r="F11" s="4">
        <v>1.7</v>
      </c>
      <c r="G11" s="4">
        <v>52.8</v>
      </c>
      <c r="H11" s="5">
        <v>300</v>
      </c>
      <c r="I11" s="4">
        <v>6.52</v>
      </c>
      <c r="J11" s="4">
        <v>10.6</v>
      </c>
      <c r="K11" s="5">
        <v>2</v>
      </c>
      <c r="L11" s="5">
        <v>0</v>
      </c>
      <c r="M11" s="5">
        <v>2216</v>
      </c>
      <c r="N11" s="5">
        <f t="shared" si="0"/>
        <v>135</v>
      </c>
      <c r="O11" s="4">
        <f t="shared" si="1"/>
        <v>135.38</v>
      </c>
      <c r="P11" s="4">
        <f>IF(O11="","",ROUND(O11/(1+Parametros!$B$2*L11),2))</f>
        <v>135.38</v>
      </c>
      <c r="Q11" s="6" t="str">
        <f>IF(P11="","No evaluable",IF(P11&lt;Parametros!$B$3,"Baja",IF(P11&lt;Parametros!$B$4,"Media","Alta")))</f>
        <v>Alta</v>
      </c>
    </row>
  </sheetData>
  <conditionalFormatting sqref="Q2:Q11">
    <cfRule type="containsText" dxfId="2" priority="1" operator="containsText" text="Baja"/>
    <cfRule type="containsText" dxfId="1" priority="2" operator="containsText" text="Media"/>
    <cfRule type="containsText" dxfId="0" priority="3" operator="containsText" text="Alta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tabSelected="1" workbookViewId="0">
      <selection activeCell="C10" sqref="C10"/>
    </sheetView>
  </sheetViews>
  <sheetFormatPr baseColWidth="10" defaultColWidth="8.6640625" defaultRowHeight="14"/>
  <cols>
    <col min="1" max="1" width="22" customWidth="1"/>
    <col min="2" max="2" width="9.08203125" customWidth="1"/>
    <col min="3" max="3" width="44" customWidth="1"/>
  </cols>
  <sheetData>
    <row r="1" spans="1:3">
      <c r="A1" s="7" t="s">
        <v>45</v>
      </c>
      <c r="B1" s="7" t="s">
        <v>46</v>
      </c>
      <c r="C1" s="7" t="s">
        <v>47</v>
      </c>
    </row>
    <row r="2" spans="1:3">
      <c r="A2" s="1" t="s">
        <v>48</v>
      </c>
      <c r="B2" s="8">
        <v>0.1</v>
      </c>
      <c r="C2" s="1" t="s">
        <v>49</v>
      </c>
    </row>
    <row r="3" spans="1:3">
      <c r="A3" s="1" t="s">
        <v>50</v>
      </c>
      <c r="B3" s="9">
        <v>10</v>
      </c>
      <c r="C3" s="1" t="s">
        <v>51</v>
      </c>
    </row>
    <row r="4" spans="1:3">
      <c r="A4" s="1" t="s">
        <v>52</v>
      </c>
      <c r="B4" s="9">
        <v>30</v>
      </c>
      <c r="C4" s="1" t="s">
        <v>53</v>
      </c>
    </row>
    <row r="6" spans="1:3">
      <c r="A6" s="10" t="s">
        <v>54</v>
      </c>
      <c r="B6" s="10"/>
      <c r="C6" s="10" t="s">
        <v>55</v>
      </c>
    </row>
    <row r="7" spans="1:3">
      <c r="A7" s="10" t="s">
        <v>56</v>
      </c>
      <c r="B7" s="10"/>
      <c r="C7" s="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CARNUCCIO</cp:lastModifiedBy>
  <dcterms:modified xsi:type="dcterms:W3CDTF">2026-09-08T15:47:53Z</dcterms:modified>
</cp:coreProperties>
</file>