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A9D6B02E-7E28-4B4B-A203-443810D7EE7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Mantenibilidad" sheetId="1" r:id="rId1"/>
    <sheet name="Tablas de MI para graficos" sheetId="3" r:id="rId2"/>
    <sheet name="Analisis M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<sst xmlns="http://schemas.openxmlformats.org/spreadsheetml/2006/main" count="144" uniqueCount="60">
  <si>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Grupo</t>
  </si>
  <si>
    <t>M1</t>
  </si>
  <si>
    <t>M2</t>
  </si>
  <si>
    <t>M4</t>
  </si>
  <si>
    <t>M5</t>
  </si>
  <si>
    <t>M6</t>
  </si>
  <si>
    <t>Claude Sonnet 4.6</t>
  </si>
  <si>
    <t>Modelo</t>
  </si>
  <si>
    <t>Herramienta IA</t>
  </si>
  <si>
    <t>Claude IA</t>
  </si>
  <si>
    <t>Claude Code</t>
  </si>
  <si>
    <t>Haiku 4.5</t>
  </si>
  <si>
    <t>Opus 4.7</t>
  </si>
  <si>
    <t>Web/IDE</t>
  </si>
  <si>
    <t>Geminis 3.1 Pro</t>
  </si>
  <si>
    <t>GPT 5 Mini</t>
  </si>
  <si>
    <t>Complejidad</t>
  </si>
  <si>
    <t>Alta</t>
  </si>
  <si>
    <t>Media</t>
  </si>
  <si>
    <t>metodología utilizada</t>
  </si>
  <si>
    <t>prompting tecnico</t>
  </si>
  <si>
    <t>M3</t>
  </si>
  <si>
    <t>Worflow FEPEC</t>
  </si>
  <si>
    <t>TABLAS PARA GRAFICOS</t>
  </si>
  <si>
    <t>Deepseek v4 Mini Flash</t>
  </si>
  <si>
    <t>MI</t>
  </si>
  <si>
    <t xml:space="preserve"> metrica de Halstead</t>
  </si>
  <si>
    <t>Rubricas</t>
  </si>
  <si>
    <t>metodo de Mantenibilidad</t>
  </si>
  <si>
    <t>valor optimo</t>
  </si>
  <si>
    <t>ratio  (20-30%)</t>
  </si>
  <si>
    <t>MI más bajo, indicando menor facilidad de mantenimiento. En cambio, valores altos de MI indican código más simple, legible y fácil de modificar.</t>
  </si>
  <si>
    <t>MI=171−5.2ln(V)−0.23(CC)−16.2ln(LOC)</t>
  </si>
  <si>
    <t>Formula utilizada</t>
  </si>
  <si>
    <t>ratio</t>
  </si>
  <si>
    <t>cant. Comentarios/cant linea codigo</t>
  </si>
  <si>
    <t xml:space="preserve">MI=171−5.2ln(V)−0.23(CC)−16.2ln(LOC)
</t>
  </si>
  <si>
    <t>Método</t>
  </si>
  <si>
    <t>Ratio comentarios</t>
  </si>
  <si>
    <t>Rúbrica</t>
  </si>
  <si>
    <t>MI Halstead</t>
  </si>
  <si>
    <t>Categoría</t>
  </si>
  <si>
    <t>Baja</t>
  </si>
  <si>
    <t>&gt; 70</t>
  </si>
  <si>
    <t>Estandarizacion</t>
  </si>
  <si>
    <t>40-70</t>
  </si>
  <si>
    <t>&lt; 40</t>
  </si>
  <si>
    <t>Lenguaje</t>
  </si>
  <si>
    <t>W/I-Gemini</t>
  </si>
  <si>
    <t>W/I-Sonnet</t>
  </si>
  <si>
    <t>W/I-GPT5</t>
  </si>
  <si>
    <t>W/I-Deepseek</t>
  </si>
  <si>
    <t>CC-Sonnet</t>
  </si>
  <si>
    <t>CC-Opus</t>
  </si>
  <si>
    <t>El grupo M1 evaluó la mantenibilidad mediante la relación comentarios/líneas de código, obteniendo un 27%, valor considerado adecuado según los criterios definidos por los autores.</t>
  </si>
  <si>
    <t>Dado que los proyectos fueron desarrollados en distintos lenguajes de programación, la comparación del índice de mantenibilidad se considera descriptiva y exploratoria. No se busca establecer una superioridad directa entre modelos, sino observar tendencias generales dentro de los casos analizados.</t>
  </si>
  <si>
    <t>PY</t>
  </si>
  <si>
    <t>JA</t>
  </si>
  <si>
    <t>"Los resultados muestran una variabilidad moderada en el índice de mantenibilidad entre las configuraciones analizadas, observándose valores entre 31,82 y 74. Debido a que los proyectos fueron desarrollados en distintos lenguajes y utilizando diferentes herramientas y modelos de IA, los resultados deben interpretarse de forma descriptiva."</t>
  </si>
  <si>
    <t xml:space="preserve"> El grupo M2 evaluó la manetenibilidad a través de rubricas cualitativas dando como resultado una adecuada criterio de mantenibilidad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</si>
</sst>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right" vertical="top" wrapText="1"/>
    </xf>
    <xf numFmtId="0" fontId="0" fillId="6" borderId="0" xfId="0" applyFill="1"/>
    <xf numFmtId="0" fontId="0" fillId="4" borderId="0" xfId="0" quotePrefix="1" applyFill="1" applyAlignment="1">
      <alignment vertical="top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7" borderId="0" xfId="0" applyFont="1" applyFill="1" applyAlignment="1">
      <alignment horizontal="center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9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horizontal="right" vertical="top"/>
    </xf>
    <xf numFmtId="164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8" borderId="0" xfId="0" applyFill="1"/>
    <xf numFmtId="0" fontId="3" fillId="2" borderId="0" xfId="0" applyFont="1" applyFill="1" applyAlignment="1">
      <alignment horizontal="right" vertical="center" wrapText="1"/>
    </xf>
    <xf numFmtId="0" fontId="0" fillId="9" borderId="0" xfId="0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right"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Mantenibilidad</a:t>
            </a:r>
            <a:r>
              <a:rPr lang="es-AR" baseline="0"/>
              <a:t> de la solución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MI para graficos'!$A$15:$C$15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W/I-Deepseek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graficos'!$D$15</c:f>
              <c:numCache>
                <c:formatCode>General</c:formatCode>
                <c:ptCount val="1"/>
                <c:pt idx="0">
                  <c:v>31.82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4-4378-84D4-8FE466C62EF8}"/>
            </c:ext>
          </c:extLst>
        </c:ser>
        <c:ser>
          <c:idx val="1"/>
          <c:order val="1"/>
          <c:tx>
            <c:strRef>
              <c:f>'Tablas de MI para graficos'!$A$16:$C$16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W/I-Sonnet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graficos'!$D$16</c:f>
              <c:numCache>
                <c:formatCode>General</c:formatCode>
                <c:ptCount val="1"/>
                <c:pt idx="0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4-4378-84D4-8FE466C62EF8}"/>
            </c:ext>
          </c:extLst>
        </c:ser>
        <c:ser>
          <c:idx val="2"/>
          <c:order val="2"/>
          <c:tx>
            <c:strRef>
              <c:f>'Tablas de MI para graficos'!$A$17:$C$17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CC-Sonnet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graficos'!$D$17</c:f>
              <c:numCache>
                <c:formatCode>General</c:formatCode>
                <c:ptCount val="1"/>
                <c:pt idx="0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4-4378-84D4-8FE466C62EF8}"/>
            </c:ext>
          </c:extLst>
        </c:ser>
        <c:ser>
          <c:idx val="3"/>
          <c:order val="3"/>
          <c:tx>
            <c:strRef>
              <c:f>'Tablas de MI para graficos'!$A$18:$C$18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graficos'!$D$18</c:f>
              <c:numCache>
                <c:formatCode>General</c:formatCode>
                <c:ptCount val="1"/>
                <c:pt idx="0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4-4378-84D4-8FE466C62EF8}"/>
            </c:ext>
          </c:extLst>
        </c:ser>
        <c:ser>
          <c:idx val="4"/>
          <c:order val="4"/>
          <c:tx>
            <c:strRef>
              <c:f>'Tablas de MI para graficos'!$A$19:$C$19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W/I-GPT5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graficos'!$D$19</c:f>
              <c:numCache>
                <c:formatCode>General</c:formatCode>
                <c:ptCount val="1"/>
                <c:pt idx="0">
                  <c:v>46.86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04-4378-84D4-8FE466C62EF8}"/>
            </c:ext>
          </c:extLst>
        </c:ser>
        <c:ser>
          <c:idx val="5"/>
          <c:order val="5"/>
          <c:tx>
            <c:strRef>
              <c:f>'Tablas de MI para graficos'!$A$20:$C$20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W/I-Gemini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graficos'!$D$20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04-4378-84D4-8FE466C62EF8}"/>
            </c:ext>
          </c:extLst>
        </c:ser>
        <c:ser>
          <c:idx val="6"/>
          <c:order val="6"/>
          <c:tx>
            <c:strRef>
              <c:f>'Tablas de MI para graficos'!$A$21:$C$21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CC-Sonnet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graficos'!$D$21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04-4378-84D4-8FE466C62EF8}"/>
            </c:ext>
          </c:extLst>
        </c:ser>
        <c:ser>
          <c:idx val="7"/>
          <c:order val="7"/>
          <c:tx>
            <c:strRef>
              <c:f>'Tablas de MI para graficos'!$A$22:$C$22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MI para graficos'!$D$14</c:f>
              <c:strCache>
                <c:ptCount val="1"/>
                <c:pt idx="0">
                  <c:v>MI</c:v>
                </c:pt>
              </c:strCache>
            </c:strRef>
          </c:cat>
          <c:val>
            <c:numRef>
              <c:f>'Tablas de MI para graficos'!$D$22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04-4378-84D4-8FE466C62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7411456"/>
        <c:axId val="717408544"/>
      </c:barChart>
      <c:catAx>
        <c:axId val="7174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7408544"/>
        <c:crosses val="autoZero"/>
        <c:auto val="1"/>
        <c:lblAlgn val="ctr"/>
        <c:lblOffset val="100"/>
        <c:noMultiLvlLbl val="0"/>
      </c:catAx>
      <c:valAx>
        <c:axId val="7174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741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752929</xdr:colOff>
      <xdr:row>0</xdr:row>
      <xdr:rowOff>0</xdr:rowOff>
    </xdr:from>
    <xdr:to>
      <xdr:col>6</xdr:col>
      <xdr:colOff>752929</xdr:colOff>
      <xdr:row>15</xdr:row>
      <xdr:rowOff>21771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AA61E4-6F80-44EC-99AC-EFF5282BA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opLeftCell="E1" zoomScale="70" zoomScaleNormal="70" workbookViewId="0">
      <selection activeCell="H2" sqref="H2"/>
    </sheetView>
  </sheetViews>
  <sheetFormatPr baseColWidth="10" defaultColWidth="8.7265625" defaultRowHeight="14.5" x14ac:dyDescent="0.35"/>
  <cols>
    <col min="1" max="1" width="17.54296875" customWidth="1"/>
    <col min="2" max="2" width="24.81640625" customWidth="1"/>
    <col min="3" max="3" width="22.90625" customWidth="1"/>
    <col min="4" max="4" width="22" customWidth="1"/>
    <col min="5" max="5" width="18.1796875" customWidth="1"/>
    <col min="6" max="6" width="30.26953125" customWidth="1"/>
    <col min="7" max="7" width="30.6328125" customWidth="1"/>
    <col min="8" max="8" width="32.54296875" customWidth="1"/>
    <col min="9" max="9" width="34.1796875" customWidth="1"/>
  </cols>
  <sheetData>
    <row r="1" spans="1:9" x14ac:dyDescent="0.35">
      <c r="A1" s="1" t="s">
        <v>0</v>
      </c>
      <c r="B1" s="1" t="s">
        <v>28</v>
      </c>
      <c r="C1" s="1" t="s">
        <v>8</v>
      </c>
      <c r="D1" s="1" t="s">
        <v>7</v>
      </c>
      <c r="E1" s="1" t="s">
        <v>16</v>
      </c>
      <c r="F1" s="1" t="s">
        <v>19</v>
      </c>
      <c r="G1" s="1" t="s">
        <v>25</v>
      </c>
      <c r="H1" s="1" t="s">
        <v>29</v>
      </c>
      <c r="I1" s="1" t="s">
        <v>33</v>
      </c>
    </row>
    <row r="2" spans="1:9" x14ac:dyDescent="0.35">
      <c r="A2" s="2" t="s">
        <v>1</v>
      </c>
      <c r="B2" s="5" t="s">
        <v>34</v>
      </c>
      <c r="C2" s="5" t="s">
        <v>9</v>
      </c>
      <c r="D2" s="5" t="s">
        <v>6</v>
      </c>
      <c r="E2" s="5" t="s">
        <v>18</v>
      </c>
      <c r="F2" s="5" t="s">
        <v>20</v>
      </c>
      <c r="G2" s="21">
        <v>0.27</v>
      </c>
      <c r="H2" s="11" t="s">
        <v>30</v>
      </c>
      <c r="I2" s="5" t="s">
        <v>35</v>
      </c>
    </row>
    <row r="3" spans="1:9" x14ac:dyDescent="0.35">
      <c r="A3" s="2" t="s">
        <v>2</v>
      </c>
      <c r="B3" s="5" t="s">
        <v>27</v>
      </c>
      <c r="C3" s="12">
        <v>0</v>
      </c>
      <c r="D3" s="5">
        <v>0</v>
      </c>
      <c r="E3" s="25">
        <v>0</v>
      </c>
      <c r="F3" s="9" t="s">
        <v>20</v>
      </c>
      <c r="G3" s="22">
        <v>0</v>
      </c>
      <c r="H3" s="11">
        <v>0</v>
      </c>
    </row>
    <row r="4" spans="1:9" x14ac:dyDescent="0.35">
      <c r="A4" s="17" t="s">
        <v>21</v>
      </c>
      <c r="B4" s="18"/>
      <c r="C4" s="13" t="s">
        <v>10</v>
      </c>
      <c r="D4" s="6" t="s">
        <v>11</v>
      </c>
      <c r="E4" s="9" t="s">
        <v>17</v>
      </c>
      <c r="F4" s="9" t="s">
        <v>22</v>
      </c>
      <c r="G4" s="23"/>
      <c r="H4" s="11"/>
    </row>
    <row r="5" spans="1:9" x14ac:dyDescent="0.35">
      <c r="A5" s="17"/>
      <c r="B5" s="18"/>
      <c r="C5" s="13" t="s">
        <v>10</v>
      </c>
      <c r="D5" s="6" t="s">
        <v>12</v>
      </c>
      <c r="E5" s="9" t="s">
        <v>17</v>
      </c>
      <c r="F5" s="9" t="s">
        <v>22</v>
      </c>
      <c r="G5" s="22"/>
      <c r="H5" s="11"/>
    </row>
    <row r="6" spans="1:9" ht="72.5" x14ac:dyDescent="0.35">
      <c r="A6" s="2" t="s">
        <v>3</v>
      </c>
      <c r="B6" s="5" t="s">
        <v>26</v>
      </c>
      <c r="C6" s="5" t="s">
        <v>13</v>
      </c>
      <c r="D6" s="5" t="s">
        <v>14</v>
      </c>
      <c r="E6" s="9" t="s">
        <v>17</v>
      </c>
      <c r="F6" s="9" t="s">
        <v>20</v>
      </c>
      <c r="G6" s="10">
        <v>55</v>
      </c>
      <c r="H6" s="19" t="s">
        <v>31</v>
      </c>
      <c r="I6" s="9" t="s">
        <v>32</v>
      </c>
    </row>
    <row r="7" spans="1:9" x14ac:dyDescent="0.35">
      <c r="A7" s="2"/>
      <c r="B7" s="5"/>
      <c r="C7" s="5" t="s">
        <v>13</v>
      </c>
      <c r="D7" s="5" t="s">
        <v>6</v>
      </c>
      <c r="E7" s="9" t="s">
        <v>17</v>
      </c>
      <c r="F7" s="9" t="s">
        <v>20</v>
      </c>
      <c r="G7" s="23">
        <v>39.82</v>
      </c>
      <c r="H7" s="11"/>
    </row>
    <row r="8" spans="1:9" x14ac:dyDescent="0.35">
      <c r="A8" s="2"/>
      <c r="B8" s="5"/>
      <c r="C8" s="5" t="s">
        <v>13</v>
      </c>
      <c r="D8" s="5" t="s">
        <v>15</v>
      </c>
      <c r="E8" s="9" t="s">
        <v>17</v>
      </c>
      <c r="F8" s="9" t="s">
        <v>20</v>
      </c>
      <c r="G8" s="22">
        <v>46.86</v>
      </c>
      <c r="H8" s="11"/>
    </row>
    <row r="9" spans="1:9" x14ac:dyDescent="0.35">
      <c r="A9" s="2"/>
      <c r="B9" s="5"/>
      <c r="C9" s="5" t="s">
        <v>13</v>
      </c>
      <c r="D9" s="5" t="s">
        <v>24</v>
      </c>
      <c r="E9" s="9" t="s">
        <v>17</v>
      </c>
      <c r="F9" s="9" t="s">
        <v>20</v>
      </c>
      <c r="G9" s="22">
        <v>31.82</v>
      </c>
      <c r="H9" s="11"/>
    </row>
    <row r="10" spans="1:9" ht="29" x14ac:dyDescent="0.35">
      <c r="A10" s="3" t="s">
        <v>4</v>
      </c>
      <c r="B10" s="6" t="s">
        <v>26</v>
      </c>
      <c r="C10" s="6" t="s">
        <v>10</v>
      </c>
      <c r="D10" s="5" t="s">
        <v>6</v>
      </c>
      <c r="E10" s="9" t="s">
        <v>17</v>
      </c>
      <c r="F10" s="9" t="s">
        <v>20</v>
      </c>
      <c r="G10" s="22">
        <v>41.7</v>
      </c>
      <c r="H10" s="11"/>
      <c r="I10" s="20" t="s">
        <v>36</v>
      </c>
    </row>
    <row r="11" spans="1:9" x14ac:dyDescent="0.35">
      <c r="A11" s="3"/>
      <c r="B11" s="6"/>
      <c r="C11" s="13" t="s">
        <v>10</v>
      </c>
      <c r="D11" s="6" t="s">
        <v>12</v>
      </c>
      <c r="E11" s="9" t="s">
        <v>17</v>
      </c>
      <c r="F11" s="9" t="s">
        <v>20</v>
      </c>
      <c r="G11" s="22">
        <v>41.7</v>
      </c>
      <c r="H11" s="11"/>
    </row>
    <row r="12" spans="1:9" ht="29" x14ac:dyDescent="0.35">
      <c r="A12" s="3" t="s">
        <v>5</v>
      </c>
      <c r="B12" s="6" t="s">
        <v>26</v>
      </c>
      <c r="C12" s="13" t="s">
        <v>10</v>
      </c>
      <c r="D12" s="5" t="s">
        <v>6</v>
      </c>
      <c r="E12" s="9" t="s">
        <v>17</v>
      </c>
      <c r="F12" s="9" t="s">
        <v>20</v>
      </c>
      <c r="G12" s="24">
        <v>74</v>
      </c>
      <c r="H12" s="11"/>
      <c r="I12" s="20" t="s">
        <v>36</v>
      </c>
    </row>
    <row r="13" spans="1:9" x14ac:dyDescent="0.35">
      <c r="A13" s="4"/>
      <c r="B13" s="7"/>
      <c r="C13" s="8" t="s">
        <v>10</v>
      </c>
      <c r="D13" s="6" t="s">
        <v>12</v>
      </c>
      <c r="E13" s="9" t="s">
        <v>17</v>
      </c>
      <c r="F13" s="9" t="s">
        <v>20</v>
      </c>
      <c r="G13" s="24">
        <v>74</v>
      </c>
      <c r="H13" s="11"/>
    </row>
    <row r="14" spans="1:9" x14ac:dyDescent="0.35">
      <c r="E14" s="9" t="s">
        <v>17</v>
      </c>
    </row>
    <row r="15" spans="1:9" x14ac:dyDescent="0.35">
      <c r="E15" s="9"/>
    </row>
    <row r="16" spans="1:9" x14ac:dyDescent="0.35">
      <c r="E16" s="9"/>
    </row>
    <row r="17" spans="1:7" x14ac:dyDescent="0.35">
      <c r="A17" s="16" t="s">
        <v>23</v>
      </c>
      <c r="B17" s="16"/>
      <c r="C17" s="16"/>
      <c r="D17" s="16"/>
      <c r="E17" s="16"/>
      <c r="F17" s="16"/>
      <c r="G17" s="16"/>
    </row>
  </sheetData>
  <mergeCells count="3">
    <mergeCell ref="A17:G17"/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B81F-7908-49F4-B481-D1D00139CAB6}">
  <dimension ref="A7:E22"/>
  <sheetViews>
    <sheetView topLeftCell="A3" workbookViewId="0">
      <selection activeCell="B19" sqref="B19"/>
    </sheetView>
  </sheetViews>
  <sheetFormatPr baseColWidth="10" defaultRowHeight="14.5" x14ac:dyDescent="0.35"/>
  <cols>
    <col min="2" max="2" width="15.26953125" customWidth="1"/>
    <col min="3" max="3" width="15.08984375" customWidth="1"/>
  </cols>
  <sheetData>
    <row r="7" spans="1:5" x14ac:dyDescent="0.35">
      <c r="A7" s="33"/>
      <c r="B7" s="26"/>
    </row>
    <row r="8" spans="1:5" x14ac:dyDescent="0.35">
      <c r="A8" s="29" t="s">
        <v>44</v>
      </c>
      <c r="B8" s="29"/>
    </row>
    <row r="9" spans="1:5" x14ac:dyDescent="0.35">
      <c r="A9" s="30" t="s">
        <v>25</v>
      </c>
      <c r="B9" s="27" t="s">
        <v>41</v>
      </c>
    </row>
    <row r="10" spans="1:5" x14ac:dyDescent="0.35">
      <c r="A10" s="31" t="s">
        <v>46</v>
      </c>
      <c r="B10" s="26" t="s">
        <v>42</v>
      </c>
    </row>
    <row r="11" spans="1:5" x14ac:dyDescent="0.35">
      <c r="A11" s="31" t="s">
        <v>45</v>
      </c>
      <c r="B11" s="26" t="s">
        <v>18</v>
      </c>
    </row>
    <row r="12" spans="1:5" x14ac:dyDescent="0.35">
      <c r="A12" s="31" t="s">
        <v>43</v>
      </c>
      <c r="B12" s="26" t="s">
        <v>17</v>
      </c>
    </row>
    <row r="13" spans="1:5" x14ac:dyDescent="0.35">
      <c r="A13" s="34"/>
      <c r="B13" s="26"/>
    </row>
    <row r="14" spans="1:5" x14ac:dyDescent="0.35">
      <c r="A14" s="27" t="s">
        <v>0</v>
      </c>
      <c r="B14" s="27" t="s">
        <v>47</v>
      </c>
      <c r="C14" s="27" t="s">
        <v>7</v>
      </c>
      <c r="D14" s="30" t="s">
        <v>25</v>
      </c>
      <c r="E14" s="27" t="s">
        <v>41</v>
      </c>
    </row>
    <row r="15" spans="1:5" x14ac:dyDescent="0.35">
      <c r="A15" s="28" t="s">
        <v>3</v>
      </c>
      <c r="B15" s="28" t="s">
        <v>56</v>
      </c>
      <c r="C15" s="28" t="s">
        <v>51</v>
      </c>
      <c r="D15" s="14">
        <v>31.82</v>
      </c>
      <c r="E15" s="26" t="s">
        <v>42</v>
      </c>
    </row>
    <row r="16" spans="1:5" x14ac:dyDescent="0.35">
      <c r="A16" s="28" t="s">
        <v>3</v>
      </c>
      <c r="B16" s="28" t="s">
        <v>56</v>
      </c>
      <c r="C16" s="28" t="s">
        <v>49</v>
      </c>
      <c r="D16" s="14">
        <v>39.799999999999997</v>
      </c>
      <c r="E16" s="26" t="s">
        <v>42</v>
      </c>
    </row>
    <row r="17" spans="1:5" x14ac:dyDescent="0.35">
      <c r="A17" s="28" t="s">
        <v>4</v>
      </c>
      <c r="B17" s="28" t="s">
        <v>57</v>
      </c>
      <c r="C17" s="28" t="s">
        <v>52</v>
      </c>
      <c r="D17" s="14">
        <v>41.7</v>
      </c>
      <c r="E17" s="26" t="s">
        <v>18</v>
      </c>
    </row>
    <row r="18" spans="1:5" x14ac:dyDescent="0.35">
      <c r="A18" s="28" t="s">
        <v>4</v>
      </c>
      <c r="B18" s="28" t="s">
        <v>57</v>
      </c>
      <c r="C18" s="28" t="s">
        <v>53</v>
      </c>
      <c r="D18" s="14">
        <v>41.7</v>
      </c>
      <c r="E18" s="26" t="s">
        <v>18</v>
      </c>
    </row>
    <row r="19" spans="1:5" x14ac:dyDescent="0.35">
      <c r="A19" s="28" t="s">
        <v>3</v>
      </c>
      <c r="B19" s="28" t="s">
        <v>56</v>
      </c>
      <c r="C19" s="28" t="s">
        <v>50</v>
      </c>
      <c r="D19" s="14">
        <v>46.86</v>
      </c>
      <c r="E19" s="26" t="s">
        <v>18</v>
      </c>
    </row>
    <row r="20" spans="1:5" x14ac:dyDescent="0.35">
      <c r="A20" s="28" t="s">
        <v>3</v>
      </c>
      <c r="B20" s="28" t="s">
        <v>56</v>
      </c>
      <c r="C20" s="28" t="s">
        <v>48</v>
      </c>
      <c r="D20" s="14">
        <v>55</v>
      </c>
      <c r="E20" s="26" t="s">
        <v>18</v>
      </c>
    </row>
    <row r="21" spans="1:5" x14ac:dyDescent="0.35">
      <c r="A21" s="28" t="s">
        <v>5</v>
      </c>
      <c r="B21" s="28" t="s">
        <v>56</v>
      </c>
      <c r="C21" s="28" t="s">
        <v>52</v>
      </c>
      <c r="D21" s="14">
        <v>74</v>
      </c>
      <c r="E21" s="26" t="s">
        <v>17</v>
      </c>
    </row>
    <row r="22" spans="1:5" x14ac:dyDescent="0.35">
      <c r="A22" s="28" t="s">
        <v>5</v>
      </c>
      <c r="B22" s="28" t="s">
        <v>56</v>
      </c>
      <c r="C22" s="28" t="s">
        <v>53</v>
      </c>
      <c r="D22" s="14">
        <v>74</v>
      </c>
      <c r="E22" s="26" t="s">
        <v>17</v>
      </c>
    </row>
  </sheetData>
  <sortState xmlns:xlrd2="http://schemas.microsoft.com/office/spreadsheetml/2017/richdata2" ref="A1:E16">
    <sortCondition ref="D1:D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5A-84AC-4B7D-86FB-ADA9FE12245C}">
  <dimension ref="A1:R27"/>
  <sheetViews>
    <sheetView tabSelected="1" zoomScale="70" zoomScaleNormal="70" workbookViewId="0">
      <selection activeCell="A21" sqref="A21"/>
    </sheetView>
  </sheetViews>
  <sheetFormatPr baseColWidth="10" defaultRowHeight="14.5" x14ac:dyDescent="0.35"/>
  <cols>
    <col min="10" max="10" width="19.7265625" customWidth="1"/>
  </cols>
  <sheetData>
    <row r="1" spans="9:13" x14ac:dyDescent="0.35">
      <c r="I1" s="27" t="s">
        <v>0</v>
      </c>
      <c r="J1" s="27" t="s">
        <v>37</v>
      </c>
      <c r="L1" s="29" t="s">
        <v>44</v>
      </c>
      <c r="M1" s="29"/>
    </row>
    <row r="2" spans="9:13" x14ac:dyDescent="0.35">
      <c r="I2" s="32" t="s">
        <v>1</v>
      </c>
      <c r="J2" s="26" t="s">
        <v>38</v>
      </c>
      <c r="L2" s="30" t="s">
        <v>25</v>
      </c>
      <c r="M2" s="27" t="s">
        <v>41</v>
      </c>
    </row>
    <row r="3" spans="9:13" x14ac:dyDescent="0.35">
      <c r="I3" s="32" t="s">
        <v>2</v>
      </c>
      <c r="J3" s="26" t="s">
        <v>39</v>
      </c>
      <c r="L3" s="31" t="s">
        <v>46</v>
      </c>
      <c r="M3" s="26" t="s">
        <v>42</v>
      </c>
    </row>
    <row r="4" spans="9:13" x14ac:dyDescent="0.35">
      <c r="I4" s="32" t="s">
        <v>3</v>
      </c>
      <c r="J4" s="26" t="s">
        <v>40</v>
      </c>
      <c r="L4" s="31" t="s">
        <v>45</v>
      </c>
      <c r="M4" s="26" t="s">
        <v>18</v>
      </c>
    </row>
    <row r="5" spans="9:13" x14ac:dyDescent="0.35">
      <c r="I5" s="32" t="s">
        <v>4</v>
      </c>
      <c r="J5" s="26" t="s">
        <v>40</v>
      </c>
      <c r="L5" s="31" t="s">
        <v>43</v>
      </c>
      <c r="M5" s="26" t="s">
        <v>17</v>
      </c>
    </row>
    <row r="6" spans="9:13" x14ac:dyDescent="0.35">
      <c r="I6" s="32" t="s">
        <v>5</v>
      </c>
      <c r="J6" s="26" t="s">
        <v>40</v>
      </c>
    </row>
    <row r="17" spans="1:18" x14ac:dyDescent="0.35">
      <c r="A17" s="15"/>
    </row>
    <row r="18" spans="1:18" x14ac:dyDescent="0.35">
      <c r="Q18" s="15"/>
      <c r="R18" s="15"/>
    </row>
    <row r="19" spans="1:18" x14ac:dyDescent="0.35">
      <c r="A19" s="15" t="s">
        <v>54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Q19" s="15"/>
      <c r="R19" s="15"/>
    </row>
    <row r="20" spans="1:18" x14ac:dyDescent="0.35">
      <c r="A20" s="15" t="s">
        <v>59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Q20" s="15"/>
      <c r="R20" s="15"/>
    </row>
    <row r="21" spans="1:18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Q21" s="15"/>
      <c r="R21" s="15"/>
    </row>
    <row r="22" spans="1:18" x14ac:dyDescent="0.35">
      <c r="A22" s="35" t="s">
        <v>58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Q22" s="15"/>
      <c r="R22" s="15"/>
    </row>
    <row r="23" spans="1:18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8" x14ac:dyDescent="0.35">
      <c r="A24" s="35" t="s">
        <v>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8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8" x14ac:dyDescent="0.35">
      <c r="B26" s="15"/>
    </row>
    <row r="27" spans="1:18" x14ac:dyDescent="0.35">
      <c r="B27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Mantenibilidad</vt:lpstr>
      <vt:lpstr>Tablas de MI para graficos</vt:lpstr>
      <vt:lpstr>Analisis 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2026-06-04T22:01:08Z</dcterms:modified>
</cp:coreProperties>
</file>