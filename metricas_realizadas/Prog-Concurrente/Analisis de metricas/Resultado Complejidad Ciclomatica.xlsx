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proyecto_code_ia\metricas_realizadas\Prog-Concurrente\Analisis de metricas\"/>
    </mc:Choice>
  </mc:AlternateContent>
  <xr:revisionPtr revIDLastSave="0" documentId="13_ncr:1_{D35F849A-3CD6-4C82-914C-6B4FEC30A15E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Complejidad Ciclomatica" sheetId="1" r:id="rId1"/>
    <sheet name="Analisis C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3" i="1" l="1"/>
  <c r="C34" i="1"/>
  <c r="C35" i="1"/>
  <c r="C36" i="1"/>
  <c r="C37" i="1"/>
  <c r="C38" i="1"/>
  <c r="C39" i="1"/>
  <c r="C40" i="1"/>
  <c r="C41" i="1"/>
  <c r="C42" i="1"/>
  <c r="C32" i="1"/>
  <c r="D29" i="1"/>
  <c r="D28" i="1"/>
  <c r="D27" i="1"/>
  <c r="D26" i="1"/>
  <c r="C29" i="1"/>
  <c r="C28" i="1"/>
  <c r="C27" i="1"/>
  <c r="C26" i="1"/>
  <c r="C25" i="1"/>
  <c r="D23" i="1"/>
  <c r="C23" i="1"/>
  <c r="D25" i="1"/>
  <c r="D24" i="1"/>
  <c r="C24" i="1"/>
  <c r="D22" i="1"/>
  <c r="C22" i="1"/>
  <c r="C18" i="1"/>
  <c r="B18" i="1"/>
  <c r="C17" i="1"/>
  <c r="B17" i="1"/>
</calcChain>
</file>

<file path=xl/sharedStrings.xml><?xml version="1.0" encoding="utf-8"?>
<sst xmlns="http://schemas.openxmlformats.org/spreadsheetml/2006/main" count="147" uniqueCount="56">
  <si>
    <t>Grupo</t>
  </si>
  <si>
    <t>M1</t>
  </si>
  <si>
    <t>M2</t>
  </si>
  <si>
    <t>M4</t>
  </si>
  <si>
    <t>M5</t>
  </si>
  <si>
    <t>M6</t>
  </si>
  <si>
    <t>metodo CC</t>
  </si>
  <si>
    <t>CC Promedio</t>
  </si>
  <si>
    <t>CC Maximo</t>
  </si>
  <si>
    <t>McCabe</t>
  </si>
  <si>
    <t>Claude Sonnet 4.6</t>
  </si>
  <si>
    <t>Modelo</t>
  </si>
  <si>
    <t>Herramienta IA</t>
  </si>
  <si>
    <t>Claude IA</t>
  </si>
  <si>
    <t>Claude Code</t>
  </si>
  <si>
    <t>Haiku 4.5</t>
  </si>
  <si>
    <t>Opus 4.7</t>
  </si>
  <si>
    <t>Web/IDE</t>
  </si>
  <si>
    <t>Geminis 3.1 Pro</t>
  </si>
  <si>
    <t>GPT 5 Mini</t>
  </si>
  <si>
    <t>Complejidad</t>
  </si>
  <si>
    <t>Alta</t>
  </si>
  <si>
    <t>Media</t>
  </si>
  <si>
    <t>metodología utilizada</t>
  </si>
  <si>
    <t>prompting tecnico</t>
  </si>
  <si>
    <t>M3</t>
  </si>
  <si>
    <t>Worflow FEPEC</t>
  </si>
  <si>
    <t>TABLAS PARA GRAFICOS</t>
  </si>
  <si>
    <t>WorKflow FEPEC</t>
  </si>
  <si>
    <t>Prompting Técnico</t>
  </si>
  <si>
    <t>CC General</t>
  </si>
  <si>
    <t>CC Maximo General</t>
  </si>
  <si>
    <t xml:space="preserve">Opus 4.7 </t>
  </si>
  <si>
    <t>Deepseek v4 Mini Flash</t>
  </si>
  <si>
    <t>Aclarar que FEPEC lo utilizo solamente un grupo</t>
  </si>
  <si>
    <t>Deepseek</t>
  </si>
  <si>
    <t>GPT 5</t>
  </si>
  <si>
    <t>Sonnet</t>
  </si>
  <si>
    <t>Gemini</t>
  </si>
  <si>
    <t>Opus</t>
  </si>
  <si>
    <t>Haiku</t>
  </si>
  <si>
    <t>Caso</t>
  </si>
  <si>
    <t>M3 probó dos modelos distintos dentro de Claude Code.</t>
  </si>
  <si>
    <t>M4 probó cuatro modelos distintos desde Web/IDE.</t>
  </si>
  <si>
    <t>M5 y M6 compararon Sonnet y Opus.</t>
  </si>
  <si>
    <t>El valor más alto fue M3 con Opus 4.7 (CC=4,7).</t>
  </si>
  <si>
    <t>El valor más bajo fue M3 con Haiku 4.5 (CC=1,12).</t>
  </si>
  <si>
    <t>CC - Haiku</t>
  </si>
  <si>
    <t>CC- Sonnet</t>
  </si>
  <si>
    <t>W/I - Gemini</t>
  </si>
  <si>
    <t>CC - Sonnet</t>
  </si>
  <si>
    <t xml:space="preserve">CC - Opus </t>
  </si>
  <si>
    <t>W/I - Sonnet</t>
  </si>
  <si>
    <t>CC - Opus</t>
  </si>
  <si>
    <t>W/I- Deepseek</t>
  </si>
  <si>
    <t>W/I - GPT5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</si>
</sst>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0" xfId="0" applyFill="1"/>
    <xf numFmtId="0" fontId="0" fillId="3" borderId="0" xfId="0" applyFill="1" applyAlignment="1">
      <alignment vertical="top" wrapText="1"/>
    </xf>
    <xf numFmtId="0" fontId="0" fillId="3" borderId="0" xfId="0" applyFill="1" applyAlignment="1">
      <alignment vertical="top"/>
    </xf>
    <xf numFmtId="0" fontId="0" fillId="3" borderId="0" xfId="0" applyFill="1"/>
    <xf numFmtId="0" fontId="0" fillId="4" borderId="0" xfId="0" applyFill="1" applyAlignment="1">
      <alignment vertical="top" wrapText="1"/>
    </xf>
    <xf numFmtId="0" fontId="0" fillId="4" borderId="0" xfId="0" applyFill="1" applyAlignment="1">
      <alignment vertical="top"/>
    </xf>
    <xf numFmtId="0" fontId="0" fillId="4" borderId="0" xfId="0" applyFill="1"/>
    <xf numFmtId="0" fontId="0" fillId="4" borderId="0" xfId="0" applyFill="1" applyAlignment="1">
      <alignment horizontal="left" vertical="top"/>
    </xf>
    <xf numFmtId="0" fontId="0" fillId="0" borderId="0" xfId="0" applyAlignment="1">
      <alignment horizontal="left" vertical="top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right" vertical="top" wrapText="1"/>
    </xf>
    <xf numFmtId="0" fontId="0" fillId="5" borderId="0" xfId="0" applyFill="1"/>
    <xf numFmtId="0" fontId="0" fillId="6" borderId="0" xfId="0" applyFill="1"/>
    <xf numFmtId="0" fontId="0" fillId="4" borderId="0" xfId="0" applyFill="1" applyAlignment="1">
      <alignment horizontal="right"/>
    </xf>
    <xf numFmtId="0" fontId="0" fillId="3" borderId="0" xfId="0" applyFill="1" applyAlignment="1">
      <alignment horizontal="left" vertical="center"/>
    </xf>
    <xf numFmtId="0" fontId="0" fillId="4" borderId="0" xfId="0" applyFill="1" applyAlignment="1">
      <alignment horizontal="left" vertical="center" wrapText="1"/>
    </xf>
    <xf numFmtId="0" fontId="0" fillId="4" borderId="0" xfId="0" quotePrefix="1" applyFill="1" applyAlignment="1">
      <alignment vertical="top" wrapText="1"/>
    </xf>
    <xf numFmtId="0" fontId="0" fillId="3" borderId="0" xfId="0" applyFill="1" applyAlignment="1">
      <alignment horizontal="left" vertical="top"/>
    </xf>
    <xf numFmtId="164" fontId="0" fillId="5" borderId="0" xfId="0" applyNumberFormat="1" applyFill="1" applyAlignment="1">
      <alignment horizontal="right"/>
    </xf>
    <xf numFmtId="164" fontId="0" fillId="0" borderId="0" xfId="0" applyNumberFormat="1"/>
    <xf numFmtId="164" fontId="0" fillId="4" borderId="0" xfId="0" applyNumberFormat="1" applyFill="1" applyAlignment="1">
      <alignment horizontal="right"/>
    </xf>
    <xf numFmtId="1" fontId="0" fillId="4" borderId="0" xfId="0" applyNumberFormat="1" applyFill="1" applyAlignment="1">
      <alignment horizontal="right"/>
    </xf>
    <xf numFmtId="1" fontId="0" fillId="0" borderId="0" xfId="0" applyNumberFormat="1"/>
    <xf numFmtId="0" fontId="1" fillId="7" borderId="0" xfId="0" applyFont="1" applyFill="1" applyAlignment="1">
      <alignment horizontal="center"/>
    </xf>
    <xf numFmtId="0" fontId="0" fillId="3" borderId="0" xfId="0" applyFill="1" applyAlignment="1">
      <alignment horizontal="left" vertical="top"/>
    </xf>
    <xf numFmtId="0" fontId="0" fillId="4" borderId="0" xfId="0" applyFill="1" applyAlignment="1">
      <alignment horizontal="left" vertical="top"/>
    </xf>
    <xf numFmtId="0" fontId="0" fillId="0" borderId="0" xfId="0" applyAlignment="1">
      <alignment horizontal="right"/>
    </xf>
    <xf numFmtId="0" fontId="0" fillId="0" borderId="0" xfId="0" applyAlignment="1">
      <alignment horizontal="right" vertical="top"/>
    </xf>
    <xf numFmtId="0" fontId="0" fillId="0" borderId="0" xfId="0" applyAlignment="1">
      <alignment horizontal="right" vertical="center" wrapText="1"/>
    </xf>
    <xf numFmtId="0" fontId="3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Complejidad</a:t>
            </a:r>
            <a:r>
              <a:rPr lang="en-US" b="1" baseline="0"/>
              <a:t>  Ciclomática según métodología utilizada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'Complejidad Ciclomatica'!$B$16</c:f>
              <c:strCache>
                <c:ptCount val="1"/>
                <c:pt idx="0">
                  <c:v>CC General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'Complejidad Ciclomatica'!$A$17:$A$18</c:f>
              <c:strCache>
                <c:ptCount val="2"/>
                <c:pt idx="0">
                  <c:v>Prompting Técnico</c:v>
                </c:pt>
                <c:pt idx="1">
                  <c:v>WorKflow FEPEC</c:v>
                </c:pt>
              </c:strCache>
            </c:strRef>
          </c:cat>
          <c:val>
            <c:numRef>
              <c:f>'Complejidad Ciclomatica'!$B$17:$B$18</c:f>
              <c:numCache>
                <c:formatCode>0.0</c:formatCode>
                <c:ptCount val="2"/>
                <c:pt idx="0">
                  <c:v>2.4020000000000001</c:v>
                </c:pt>
                <c:pt idx="1">
                  <c:v>2.91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06-4ABA-B512-F2065A5477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7393152"/>
        <c:axId val="37390240"/>
      </c:barChart>
      <c:catAx>
        <c:axId val="373931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7390240"/>
        <c:crosses val="autoZero"/>
        <c:auto val="1"/>
        <c:lblAlgn val="ctr"/>
        <c:lblOffset val="100"/>
        <c:noMultiLvlLbl val="0"/>
      </c:catAx>
      <c:valAx>
        <c:axId val="37390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7393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b="1"/>
              <a:t>Complejidad Ciclomática de las Soluciones Generadas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7.2817147856517939E-2"/>
          <c:y val="0.17171296296296296"/>
          <c:w val="0.88878596175478064"/>
          <c:h val="0.496957549037436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'Complejidad Ciclomatica'!$C$44</c:f>
              <c:strCache>
                <c:ptCount val="1"/>
                <c:pt idx="0">
                  <c:v>CC General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'Complejidad Ciclomatica'!$A$45:$B$55</c:f>
              <c:multiLvlStrCache>
                <c:ptCount val="11"/>
                <c:lvl>
                  <c:pt idx="0">
                    <c:v>CC - Haiku</c:v>
                  </c:pt>
                  <c:pt idx="1">
                    <c:v>CC- Sonnet</c:v>
                  </c:pt>
                  <c:pt idx="2">
                    <c:v>W/I - Gemini</c:v>
                  </c:pt>
                  <c:pt idx="3">
                    <c:v>CC - Sonnet</c:v>
                  </c:pt>
                  <c:pt idx="4">
                    <c:v>CC - Opus </c:v>
                  </c:pt>
                  <c:pt idx="5">
                    <c:v>W/I - Sonnet</c:v>
                  </c:pt>
                  <c:pt idx="6">
                    <c:v>CC - Sonnet</c:v>
                  </c:pt>
                  <c:pt idx="7">
                    <c:v>CC - Opus</c:v>
                  </c:pt>
                  <c:pt idx="8">
                    <c:v>W/I- Deepseek</c:v>
                  </c:pt>
                  <c:pt idx="9">
                    <c:v>W/I - GPT5</c:v>
                  </c:pt>
                  <c:pt idx="10">
                    <c:v>CC - Opus</c:v>
                  </c:pt>
                </c:lvl>
                <c:lvl>
                  <c:pt idx="0">
                    <c:v>M3</c:v>
                  </c:pt>
                  <c:pt idx="1">
                    <c:v>M1</c:v>
                  </c:pt>
                  <c:pt idx="2">
                    <c:v>M4</c:v>
                  </c:pt>
                  <c:pt idx="3">
                    <c:v>M5</c:v>
                  </c:pt>
                  <c:pt idx="4">
                    <c:v>M5</c:v>
                  </c:pt>
                  <c:pt idx="5">
                    <c:v>M4</c:v>
                  </c:pt>
                  <c:pt idx="6">
                    <c:v>M6</c:v>
                  </c:pt>
                  <c:pt idx="7">
                    <c:v>M6</c:v>
                  </c:pt>
                  <c:pt idx="8">
                    <c:v>M4</c:v>
                  </c:pt>
                  <c:pt idx="9">
                    <c:v>M4</c:v>
                  </c:pt>
                  <c:pt idx="10">
                    <c:v>M3</c:v>
                  </c:pt>
                </c:lvl>
              </c:multiLvlStrCache>
            </c:multiLvlStrRef>
          </c:cat>
          <c:val>
            <c:numRef>
              <c:f>'Complejidad Ciclomatica'!$C$45:$C$55</c:f>
              <c:numCache>
                <c:formatCode>General</c:formatCode>
                <c:ptCount val="11"/>
                <c:pt idx="0">
                  <c:v>1.1200000000000001</c:v>
                </c:pt>
                <c:pt idx="1">
                  <c:v>1.5</c:v>
                </c:pt>
                <c:pt idx="2">
                  <c:v>2.1</c:v>
                </c:pt>
                <c:pt idx="3">
                  <c:v>2.2999999999999998</c:v>
                </c:pt>
                <c:pt idx="4">
                  <c:v>2.2999999999999998</c:v>
                </c:pt>
                <c:pt idx="5">
                  <c:v>2.42</c:v>
                </c:pt>
                <c:pt idx="6">
                  <c:v>3</c:v>
                </c:pt>
                <c:pt idx="7">
                  <c:v>3</c:v>
                </c:pt>
                <c:pt idx="8">
                  <c:v>3.5</c:v>
                </c:pt>
                <c:pt idx="9">
                  <c:v>3.9</c:v>
                </c:pt>
                <c:pt idx="10">
                  <c:v>4.7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A2-4137-8BC7-EB522AD1872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07157040"/>
        <c:axId val="607157872"/>
      </c:barChart>
      <c:catAx>
        <c:axId val="607157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607157872"/>
        <c:crosses val="autoZero"/>
        <c:auto val="1"/>
        <c:lblAlgn val="ctr"/>
        <c:lblOffset val="100"/>
        <c:noMultiLvlLbl val="0"/>
      </c:catAx>
      <c:valAx>
        <c:axId val="607157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607157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0</xdr:colOff>
      <xdr:row>14</xdr:row>
      <xdr:rowOff>165100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173FE5D-6AF8-4FCF-8E25-E582DDB84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201083</xdr:colOff>
      <xdr:row>0</xdr:row>
      <xdr:rowOff>0</xdr:rowOff>
    </xdr:from>
    <xdr:to>
      <xdr:col>13</xdr:col>
      <xdr:colOff>423333</xdr:colOff>
      <xdr:row>17</xdr:row>
      <xdr:rowOff>136374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EA506CD1-9002-4B2A-AD41-7A2E81BA09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5"/>
  <sheetViews>
    <sheetView zoomScale="70" zoomScaleNormal="70" workbookViewId="0">
      <selection activeCell="E1" sqref="E1"/>
    </sheetView>
  </sheetViews>
  <sheetFormatPr baseColWidth="10" defaultColWidth="8.7265625" defaultRowHeight="14.5" x14ac:dyDescent="0.35"/>
  <cols>
    <col min="1" max="1" width="17.54296875" customWidth="1"/>
    <col min="2" max="2" width="24.81640625" customWidth="1"/>
    <col min="3" max="3" width="22.90625" customWidth="1"/>
    <col min="4" max="4" width="22" customWidth="1"/>
    <col min="5" max="5" width="18.1796875" customWidth="1"/>
    <col min="6" max="6" width="30.26953125" customWidth="1"/>
    <col min="7" max="7" width="30.6328125" customWidth="1"/>
    <col min="8" max="8" width="11.6328125" customWidth="1"/>
  </cols>
  <sheetData>
    <row r="1" spans="1:8" x14ac:dyDescent="0.35">
      <c r="A1" s="1" t="s">
        <v>0</v>
      </c>
      <c r="B1" s="1" t="s">
        <v>6</v>
      </c>
      <c r="C1" s="1" t="s">
        <v>12</v>
      </c>
      <c r="D1" s="1" t="s">
        <v>11</v>
      </c>
      <c r="E1" s="1" t="s">
        <v>20</v>
      </c>
      <c r="F1" s="1" t="s">
        <v>23</v>
      </c>
      <c r="G1" s="1" t="s">
        <v>7</v>
      </c>
      <c r="H1" s="1" t="s">
        <v>8</v>
      </c>
    </row>
    <row r="2" spans="1:8" x14ac:dyDescent="0.35">
      <c r="A2" s="2" t="s">
        <v>1</v>
      </c>
      <c r="B2" s="5" t="s">
        <v>9</v>
      </c>
      <c r="C2" s="5" t="s">
        <v>13</v>
      </c>
      <c r="D2" s="5" t="s">
        <v>10</v>
      </c>
      <c r="E2" s="5" t="s">
        <v>22</v>
      </c>
      <c r="F2" s="5" t="s">
        <v>24</v>
      </c>
      <c r="G2" s="10">
        <v>1.5</v>
      </c>
      <c r="H2" s="13">
        <v>3</v>
      </c>
    </row>
    <row r="3" spans="1:8" x14ac:dyDescent="0.35">
      <c r="A3" s="2" t="s">
        <v>2</v>
      </c>
      <c r="B3" s="5">
        <v>0</v>
      </c>
      <c r="C3" s="17">
        <v>0</v>
      </c>
      <c r="D3" s="5">
        <v>0</v>
      </c>
      <c r="E3">
        <v>0</v>
      </c>
      <c r="F3" s="9" t="s">
        <v>24</v>
      </c>
      <c r="G3" s="10">
        <v>0</v>
      </c>
      <c r="H3" s="13">
        <v>0</v>
      </c>
    </row>
    <row r="4" spans="1:8" x14ac:dyDescent="0.35">
      <c r="A4" s="25" t="s">
        <v>25</v>
      </c>
      <c r="B4" s="26" t="s">
        <v>9</v>
      </c>
      <c r="C4" s="8" t="s">
        <v>14</v>
      </c>
      <c r="D4" s="6" t="s">
        <v>15</v>
      </c>
      <c r="E4" s="9" t="s">
        <v>21</v>
      </c>
      <c r="F4" s="9" t="s">
        <v>26</v>
      </c>
      <c r="G4" s="19">
        <v>1.1200000000000001</v>
      </c>
      <c r="H4" s="13">
        <v>10</v>
      </c>
    </row>
    <row r="5" spans="1:8" x14ac:dyDescent="0.35">
      <c r="A5" s="25"/>
      <c r="B5" s="26"/>
      <c r="C5" s="8" t="s">
        <v>14</v>
      </c>
      <c r="D5" s="6" t="s">
        <v>16</v>
      </c>
      <c r="E5" s="9" t="s">
        <v>21</v>
      </c>
      <c r="F5" s="9" t="s">
        <v>26</v>
      </c>
      <c r="G5" s="10">
        <v>4.7</v>
      </c>
      <c r="H5" s="13">
        <v>12</v>
      </c>
    </row>
    <row r="6" spans="1:8" x14ac:dyDescent="0.35">
      <c r="A6" s="2" t="s">
        <v>3</v>
      </c>
      <c r="B6" s="5" t="s">
        <v>9</v>
      </c>
      <c r="C6" s="5" t="s">
        <v>17</v>
      </c>
      <c r="D6" s="5" t="s">
        <v>18</v>
      </c>
      <c r="E6" s="9" t="s">
        <v>21</v>
      </c>
      <c r="F6" s="9" t="s">
        <v>24</v>
      </c>
      <c r="G6" s="11">
        <v>2.1</v>
      </c>
      <c r="H6" s="13">
        <v>0</v>
      </c>
    </row>
    <row r="7" spans="1:8" x14ac:dyDescent="0.35">
      <c r="A7" s="2"/>
      <c r="B7" s="5"/>
      <c r="C7" s="5" t="s">
        <v>17</v>
      </c>
      <c r="D7" s="5" t="s">
        <v>10</v>
      </c>
      <c r="E7" s="9" t="s">
        <v>21</v>
      </c>
      <c r="F7" s="9" t="s">
        <v>24</v>
      </c>
      <c r="G7" s="19">
        <v>2.42</v>
      </c>
      <c r="H7" s="13">
        <v>0</v>
      </c>
    </row>
    <row r="8" spans="1:8" x14ac:dyDescent="0.35">
      <c r="A8" s="2"/>
      <c r="B8" s="5"/>
      <c r="C8" s="5" t="s">
        <v>17</v>
      </c>
      <c r="D8" s="5" t="s">
        <v>19</v>
      </c>
      <c r="E8" s="9" t="s">
        <v>21</v>
      </c>
      <c r="F8" s="9" t="s">
        <v>24</v>
      </c>
      <c r="G8" s="10">
        <v>3.9</v>
      </c>
      <c r="H8" s="13">
        <v>0</v>
      </c>
    </row>
    <row r="9" spans="1:8" x14ac:dyDescent="0.35">
      <c r="A9" s="2"/>
      <c r="B9" s="5"/>
      <c r="C9" s="5" t="s">
        <v>17</v>
      </c>
      <c r="D9" s="5" t="s">
        <v>33</v>
      </c>
      <c r="E9" s="9" t="s">
        <v>21</v>
      </c>
      <c r="F9" s="9" t="s">
        <v>24</v>
      </c>
      <c r="G9" s="10">
        <v>3.5</v>
      </c>
      <c r="H9" s="13">
        <v>0</v>
      </c>
    </row>
    <row r="10" spans="1:8" x14ac:dyDescent="0.35">
      <c r="A10" s="3" t="s">
        <v>4</v>
      </c>
      <c r="B10" s="6" t="s">
        <v>9</v>
      </c>
      <c r="C10" s="6" t="s">
        <v>14</v>
      </c>
      <c r="D10" s="5" t="s">
        <v>10</v>
      </c>
      <c r="E10" s="9" t="s">
        <v>21</v>
      </c>
      <c r="F10" s="9" t="s">
        <v>24</v>
      </c>
      <c r="G10" s="10">
        <v>2.2999999999999998</v>
      </c>
      <c r="H10" s="13">
        <v>44</v>
      </c>
    </row>
    <row r="11" spans="1:8" x14ac:dyDescent="0.35">
      <c r="A11" s="4"/>
      <c r="B11" s="7"/>
      <c r="C11" s="8" t="s">
        <v>14</v>
      </c>
      <c r="D11" s="6" t="s">
        <v>16</v>
      </c>
      <c r="E11" s="9" t="s">
        <v>21</v>
      </c>
      <c r="F11" s="9" t="s">
        <v>24</v>
      </c>
      <c r="G11" s="10">
        <v>2.2999999999999998</v>
      </c>
      <c r="H11" s="13">
        <v>44</v>
      </c>
    </row>
    <row r="12" spans="1:8" x14ac:dyDescent="0.35">
      <c r="A12" s="4" t="s">
        <v>5</v>
      </c>
      <c r="B12" s="6" t="s">
        <v>9</v>
      </c>
      <c r="C12" s="8" t="s">
        <v>14</v>
      </c>
      <c r="D12" s="5" t="s">
        <v>10</v>
      </c>
      <c r="E12" s="9" t="s">
        <v>21</v>
      </c>
      <c r="F12" s="9" t="s">
        <v>24</v>
      </c>
      <c r="G12" s="12">
        <v>3</v>
      </c>
      <c r="H12" s="13">
        <v>0</v>
      </c>
    </row>
    <row r="13" spans="1:8" x14ac:dyDescent="0.35">
      <c r="A13" s="4"/>
      <c r="B13" s="7"/>
      <c r="C13" s="8" t="s">
        <v>14</v>
      </c>
      <c r="D13" s="6" t="s">
        <v>16</v>
      </c>
      <c r="E13" s="9" t="s">
        <v>21</v>
      </c>
      <c r="F13" s="9" t="s">
        <v>24</v>
      </c>
      <c r="G13" s="12">
        <v>3</v>
      </c>
      <c r="H13" s="13">
        <v>0</v>
      </c>
    </row>
    <row r="14" spans="1:8" x14ac:dyDescent="0.35">
      <c r="E14" s="9" t="s">
        <v>21</v>
      </c>
    </row>
    <row r="15" spans="1:8" x14ac:dyDescent="0.35">
      <c r="A15" s="24" t="s">
        <v>27</v>
      </c>
      <c r="B15" s="24"/>
      <c r="C15" s="24"/>
      <c r="D15" s="24"/>
      <c r="E15" s="24"/>
      <c r="F15" s="24"/>
      <c r="G15" s="24"/>
    </row>
    <row r="16" spans="1:8" x14ac:dyDescent="0.35">
      <c r="A16" s="1" t="s">
        <v>23</v>
      </c>
      <c r="B16" s="1" t="s">
        <v>30</v>
      </c>
      <c r="C16" s="1" t="s">
        <v>31</v>
      </c>
    </row>
    <row r="17" spans="1:4" x14ac:dyDescent="0.35">
      <c r="A17" s="4" t="s">
        <v>29</v>
      </c>
      <c r="B17" s="20">
        <f>AVERAGEIF(F:F,"prompting tecnico",G:G)</f>
        <v>2.4020000000000001</v>
      </c>
      <c r="C17" s="21">
        <f>AVERAGEIF(F:F,"prompting tecnico",H:H)</f>
        <v>9.1</v>
      </c>
    </row>
    <row r="18" spans="1:4" x14ac:dyDescent="0.35">
      <c r="A18" s="4" t="s">
        <v>28</v>
      </c>
      <c r="B18" s="21">
        <f>AVERAGEIF(F:F,"Worflow FEPEC",G:G)</f>
        <v>2.91</v>
      </c>
      <c r="C18" s="14">
        <f>AVERAGEIF(F:F,"Worflow FEPEC",H:H)</f>
        <v>11</v>
      </c>
    </row>
    <row r="21" spans="1:4" x14ac:dyDescent="0.35">
      <c r="A21" s="1" t="s">
        <v>12</v>
      </c>
      <c r="B21" s="1" t="s">
        <v>11</v>
      </c>
      <c r="C21" s="1" t="s">
        <v>30</v>
      </c>
      <c r="D21" s="1" t="s">
        <v>31</v>
      </c>
    </row>
    <row r="22" spans="1:4" x14ac:dyDescent="0.35">
      <c r="A22" s="15" t="s">
        <v>13</v>
      </c>
      <c r="B22" s="16" t="s">
        <v>10</v>
      </c>
      <c r="C22" s="21">
        <f>AVERAGEIFS(G2:G13,C2:C13,"Claude IA",D2:D13,"Claude Sonnet 4.6")</f>
        <v>1.5</v>
      </c>
      <c r="D22" s="22">
        <f>AVERAGEIFS(H2:H13,C2:C13,"Claude IA",D2:D13,"Claude Sonnet 4.6")</f>
        <v>3</v>
      </c>
    </row>
    <row r="23" spans="1:4" x14ac:dyDescent="0.35">
      <c r="A23" s="4" t="s">
        <v>14</v>
      </c>
      <c r="B23" s="16" t="s">
        <v>10</v>
      </c>
      <c r="C23" s="21">
        <f>AVERAGEIFS($G2:$G13,$C2:$C13,"Claude Code",$D2:$D13,"Claude Sonnet 4.6")</f>
        <v>2.65</v>
      </c>
      <c r="D23" s="22">
        <f>AVERAGEIFS(H2:H13,C2:C13,"Claude Code",D2:D13,"Claude Sonnet 4.6")</f>
        <v>22</v>
      </c>
    </row>
    <row r="24" spans="1:4" x14ac:dyDescent="0.35">
      <c r="A24" s="4" t="s">
        <v>14</v>
      </c>
      <c r="B24" t="s">
        <v>15</v>
      </c>
      <c r="C24" s="21">
        <f>AVERAGEIFS(G2:G13,C2:C13,"Claude Code",D2:D13,"Haiku 4.5")</f>
        <v>1.1200000000000001</v>
      </c>
      <c r="D24" s="22">
        <f>AVERAGEIFS(H2:H13,C2:C13,"Claude Code",D2:D13,"Haiku 4.5")</f>
        <v>10</v>
      </c>
    </row>
    <row r="25" spans="1:4" x14ac:dyDescent="0.35">
      <c r="A25" s="4" t="s">
        <v>14</v>
      </c>
      <c r="B25" t="s">
        <v>32</v>
      </c>
      <c r="C25" s="20">
        <f>AVERAGEIFS($G2:$G13,$C2:$C13,"Claude Code",$D2:$D13,"Opus 4.7")</f>
        <v>3.3333333333333335</v>
      </c>
      <c r="D25" s="23">
        <f>AVERAGEIFS(H2:H13,C2:C13,"Claude Code",D2:D13,"Opus 4.7")</f>
        <v>18.666666666666668</v>
      </c>
    </row>
    <row r="26" spans="1:4" x14ac:dyDescent="0.35">
      <c r="A26" s="15" t="s">
        <v>17</v>
      </c>
      <c r="B26" s="5" t="s">
        <v>18</v>
      </c>
      <c r="C26">
        <f>AVERAGEIFS($G$2:$G$13,$C$2:$C$13,"Web/IDE",$D$2:$D$13,"Geminis 3.1 Pro")</f>
        <v>2.1</v>
      </c>
      <c r="D26">
        <f>AVERAGEIFS($H$2:$H$13,$C$2:$C$13,"Web/IDE",$D$2:$D$13,"Geminis 3.1 Pro")</f>
        <v>0</v>
      </c>
    </row>
    <row r="27" spans="1:4" x14ac:dyDescent="0.35">
      <c r="A27" s="15" t="s">
        <v>17</v>
      </c>
      <c r="B27" s="5" t="s">
        <v>10</v>
      </c>
      <c r="C27">
        <f>AVERAGEIFS($G$2:$G$13,$C$2:$C$13,"Web/IDE",$D$2:$D$13,"Claude Sonnet 4.6")</f>
        <v>2.42</v>
      </c>
      <c r="D27">
        <f>AVERAGEIFS($H$2:$H$13,$C$2:$C$13,"Web/IDE",$D$2:$D$13,"Claude Sonnet 4.6")</f>
        <v>0</v>
      </c>
    </row>
    <row r="28" spans="1:4" x14ac:dyDescent="0.35">
      <c r="A28" s="15" t="s">
        <v>17</v>
      </c>
      <c r="B28" s="5" t="s">
        <v>19</v>
      </c>
      <c r="C28">
        <f>AVERAGEIFS($G$2:$G$13,$C$2:$C$13,"Web/IDE",$D$2:$D$13,"GPT 5 Mini")</f>
        <v>3.9</v>
      </c>
      <c r="D28">
        <f>AVERAGEIFS($H$2:$H$13,$C$2:$C$13,"Web/IDE",$D$2:$D$13,"GPT 5 Mini")</f>
        <v>0</v>
      </c>
    </row>
    <row r="29" spans="1:4" x14ac:dyDescent="0.35">
      <c r="A29" s="15" t="s">
        <v>17</v>
      </c>
      <c r="B29" s="5" t="s">
        <v>33</v>
      </c>
      <c r="C29">
        <f>AVERAGEIFS($G$2:$G$13,$C$2:$C$13,"Web/IDE",$D$2:$D$13,"Deepseek v4 Mini Flash")</f>
        <v>3.5</v>
      </c>
      <c r="D29">
        <f>AVERAGEIFS($H$2:$H$13,$C$2:$C$13,"Web/IDE",$D$2:$D$13,"Deepseek v4 Mini Flash")</f>
        <v>0</v>
      </c>
    </row>
    <row r="31" spans="1:4" x14ac:dyDescent="0.35">
      <c r="A31" s="1" t="s">
        <v>0</v>
      </c>
      <c r="B31" s="1" t="s">
        <v>11</v>
      </c>
      <c r="C31" s="1" t="s">
        <v>30</v>
      </c>
    </row>
    <row r="32" spans="1:4" x14ac:dyDescent="0.35">
      <c r="A32" s="2" t="s">
        <v>1</v>
      </c>
      <c r="B32" s="5" t="s">
        <v>37</v>
      </c>
      <c r="C32">
        <f>G2</f>
        <v>1.5</v>
      </c>
    </row>
    <row r="33" spans="1:3" x14ac:dyDescent="0.35">
      <c r="A33" s="18" t="s">
        <v>25</v>
      </c>
      <c r="B33" s="6" t="s">
        <v>40</v>
      </c>
      <c r="C33">
        <f>G4</f>
        <v>1.1200000000000001</v>
      </c>
    </row>
    <row r="34" spans="1:3" x14ac:dyDescent="0.35">
      <c r="A34" s="18" t="s">
        <v>25</v>
      </c>
      <c r="B34" s="6" t="s">
        <v>39</v>
      </c>
      <c r="C34">
        <f>G5</f>
        <v>4.7</v>
      </c>
    </row>
    <row r="35" spans="1:3" x14ac:dyDescent="0.35">
      <c r="A35" s="2" t="s">
        <v>3</v>
      </c>
      <c r="B35" s="5" t="s">
        <v>38</v>
      </c>
      <c r="C35">
        <f>G6</f>
        <v>2.1</v>
      </c>
    </row>
    <row r="36" spans="1:3" x14ac:dyDescent="0.35">
      <c r="A36" s="2" t="s">
        <v>3</v>
      </c>
      <c r="B36" s="5" t="s">
        <v>37</v>
      </c>
      <c r="C36">
        <f>G7</f>
        <v>2.42</v>
      </c>
    </row>
    <row r="37" spans="1:3" x14ac:dyDescent="0.35">
      <c r="A37" s="2" t="s">
        <v>3</v>
      </c>
      <c r="B37" s="5" t="s">
        <v>36</v>
      </c>
      <c r="C37">
        <f>G8</f>
        <v>3.9</v>
      </c>
    </row>
    <row r="38" spans="1:3" x14ac:dyDescent="0.35">
      <c r="A38" s="2" t="s">
        <v>3</v>
      </c>
      <c r="B38" s="5" t="s">
        <v>35</v>
      </c>
      <c r="C38" s="28">
        <f>G9</f>
        <v>3.5</v>
      </c>
    </row>
    <row r="39" spans="1:3" x14ac:dyDescent="0.35">
      <c r="A39" s="3" t="s">
        <v>4</v>
      </c>
      <c r="B39" s="5" t="s">
        <v>37</v>
      </c>
      <c r="C39" s="27">
        <f>G10</f>
        <v>2.2999999999999998</v>
      </c>
    </row>
    <row r="40" spans="1:3" x14ac:dyDescent="0.35">
      <c r="A40" s="4" t="s">
        <v>4</v>
      </c>
      <c r="B40" s="6" t="s">
        <v>39</v>
      </c>
      <c r="C40">
        <f>G11</f>
        <v>2.2999999999999998</v>
      </c>
    </row>
    <row r="41" spans="1:3" x14ac:dyDescent="0.35">
      <c r="A41" s="4" t="s">
        <v>5</v>
      </c>
      <c r="B41" s="5" t="s">
        <v>37</v>
      </c>
      <c r="C41">
        <f>G12</f>
        <v>3</v>
      </c>
    </row>
    <row r="42" spans="1:3" x14ac:dyDescent="0.35">
      <c r="A42" s="4" t="s">
        <v>5</v>
      </c>
      <c r="B42" s="6" t="s">
        <v>39</v>
      </c>
      <c r="C42">
        <f>G13</f>
        <v>3</v>
      </c>
    </row>
    <row r="44" spans="1:3" x14ac:dyDescent="0.35">
      <c r="A44" s="30" t="s">
        <v>0</v>
      </c>
      <c r="B44" s="30" t="s">
        <v>41</v>
      </c>
      <c r="C44" s="30" t="s">
        <v>30</v>
      </c>
    </row>
    <row r="45" spans="1:3" x14ac:dyDescent="0.35">
      <c r="A45" s="4" t="s">
        <v>25</v>
      </c>
      <c r="B45" s="18" t="s">
        <v>47</v>
      </c>
      <c r="C45" s="29">
        <v>1.1200000000000001</v>
      </c>
    </row>
    <row r="46" spans="1:3" x14ac:dyDescent="0.35">
      <c r="A46" s="4" t="s">
        <v>1</v>
      </c>
      <c r="B46" s="18" t="s">
        <v>48</v>
      </c>
      <c r="C46" s="29">
        <v>1.5</v>
      </c>
    </row>
    <row r="47" spans="1:3" x14ac:dyDescent="0.35">
      <c r="A47" s="4" t="s">
        <v>3</v>
      </c>
      <c r="B47" s="18" t="s">
        <v>49</v>
      </c>
      <c r="C47" s="29">
        <v>2.1</v>
      </c>
    </row>
    <row r="48" spans="1:3" x14ac:dyDescent="0.35">
      <c r="A48" s="4" t="s">
        <v>4</v>
      </c>
      <c r="B48" s="18" t="s">
        <v>50</v>
      </c>
      <c r="C48" s="29">
        <v>2.2999999999999998</v>
      </c>
    </row>
    <row r="49" spans="1:3" x14ac:dyDescent="0.35">
      <c r="A49" s="4" t="s">
        <v>4</v>
      </c>
      <c r="B49" s="18" t="s">
        <v>51</v>
      </c>
      <c r="C49" s="29">
        <v>2.2999999999999998</v>
      </c>
    </row>
    <row r="50" spans="1:3" x14ac:dyDescent="0.35">
      <c r="A50" s="4" t="s">
        <v>3</v>
      </c>
      <c r="B50" s="18" t="s">
        <v>52</v>
      </c>
      <c r="C50" s="29">
        <v>2.42</v>
      </c>
    </row>
    <row r="51" spans="1:3" x14ac:dyDescent="0.35">
      <c r="A51" s="4" t="s">
        <v>5</v>
      </c>
      <c r="B51" s="18" t="s">
        <v>50</v>
      </c>
      <c r="C51" s="29">
        <v>3</v>
      </c>
    </row>
    <row r="52" spans="1:3" x14ac:dyDescent="0.35">
      <c r="A52" s="4" t="s">
        <v>5</v>
      </c>
      <c r="B52" s="18" t="s">
        <v>53</v>
      </c>
      <c r="C52" s="29">
        <v>3</v>
      </c>
    </row>
    <row r="53" spans="1:3" x14ac:dyDescent="0.35">
      <c r="A53" s="4" t="s">
        <v>3</v>
      </c>
      <c r="B53" s="18" t="s">
        <v>54</v>
      </c>
      <c r="C53" s="29">
        <v>3.5</v>
      </c>
    </row>
    <row r="54" spans="1:3" x14ac:dyDescent="0.35">
      <c r="A54" s="4" t="s">
        <v>3</v>
      </c>
      <c r="B54" s="18" t="s">
        <v>55</v>
      </c>
      <c r="C54" s="29">
        <v>3.9</v>
      </c>
    </row>
    <row r="55" spans="1:3" x14ac:dyDescent="0.35">
      <c r="A55" s="4" t="s">
        <v>25</v>
      </c>
      <c r="B55" s="18" t="s">
        <v>53</v>
      </c>
      <c r="C55" s="29">
        <v>4.7</v>
      </c>
    </row>
  </sheetData>
  <sortState xmlns:xlrd2="http://schemas.microsoft.com/office/spreadsheetml/2017/richdata2" ref="A33:C42">
    <sortCondition ref="A32:A42"/>
  </sortState>
  <mergeCells count="3">
    <mergeCell ref="A15:G15"/>
    <mergeCell ref="A4:A5"/>
    <mergeCell ref="B4:B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80D5A-84AC-4B7D-86FB-ADA9FE12245C}">
  <dimension ref="A17:R27"/>
  <sheetViews>
    <sheetView tabSelected="1" zoomScale="70" zoomScaleNormal="70" workbookViewId="0">
      <selection activeCell="N23" sqref="N23"/>
    </sheetView>
  </sheetViews>
  <sheetFormatPr baseColWidth="10" defaultRowHeight="14.5" x14ac:dyDescent="0.35"/>
  <sheetData>
    <row r="17" spans="1:18" x14ac:dyDescent="0.35">
      <c r="A17" s="31" t="s">
        <v>34</v>
      </c>
    </row>
    <row r="18" spans="1:18" x14ac:dyDescent="0.35">
      <c r="Q18" s="31"/>
      <c r="R18" s="31"/>
    </row>
    <row r="19" spans="1:18" x14ac:dyDescent="0.35">
      <c r="A19" s="31" t="s">
        <v>42</v>
      </c>
      <c r="Q19" s="31"/>
      <c r="R19" s="31"/>
    </row>
    <row r="20" spans="1:18" x14ac:dyDescent="0.35">
      <c r="A20" s="31" t="s">
        <v>43</v>
      </c>
      <c r="Q20" s="31"/>
      <c r="R20" s="31"/>
    </row>
    <row r="21" spans="1:18" x14ac:dyDescent="0.35">
      <c r="A21" s="31" t="s">
        <v>44</v>
      </c>
      <c r="Q21" s="31"/>
      <c r="R21" s="31"/>
    </row>
    <row r="22" spans="1:18" x14ac:dyDescent="0.35">
      <c r="A22" s="31" t="s">
        <v>45</v>
      </c>
      <c r="Q22" s="31"/>
      <c r="R22" s="31"/>
    </row>
    <row r="23" spans="1:18" x14ac:dyDescent="0.35">
      <c r="A23" s="31" t="s">
        <v>46</v>
      </c>
      <c r="B23" s="31"/>
    </row>
    <row r="24" spans="1:18" x14ac:dyDescent="0.35">
      <c r="B24" s="31"/>
    </row>
    <row r="25" spans="1:18" x14ac:dyDescent="0.35">
      <c r="B25" s="31"/>
    </row>
    <row r="26" spans="1:18" x14ac:dyDescent="0.35">
      <c r="B26" s="31"/>
    </row>
    <row r="27" spans="1:18" x14ac:dyDescent="0.35">
      <c r="B27" s="3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Complejidad Ciclomatica</vt:lpstr>
      <vt:lpstr>Analisis 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.</dc:creator>
  <cp:lastModifiedBy>ESTEBAN CARNUCCIO</cp:lastModifiedBy>
  <dcterms:created xsi:type="dcterms:W3CDTF">2015-06-05T18:19:34Z</dcterms:created>
  <dcterms:modified xsi:type="dcterms:W3CDTF">2026-06-04T20:37:41Z</dcterms:modified>
</cp:coreProperties>
</file>