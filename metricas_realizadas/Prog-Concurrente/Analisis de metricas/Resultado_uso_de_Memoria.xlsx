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A8E85FD0-37C1-4A71-A2F6-2BA6A903C8D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PU y memoria" sheetId="1" r:id="rId1"/>
    <sheet name="Tablas de CPU para graficos" sheetId="3" r:id="rId2"/>
    <sheet name="Analisis CPU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3" l="1"/>
  <c r="D14" i="3"/>
  <c r="D13" i="3"/>
  <c r="D10" i="3"/>
  <c r="D9" i="3"/>
  <c r="D8" i="3"/>
  <c r="D7" i="3"/>
  <c r="D12" i="3"/>
  <c r="D11" i="3"/>
  <c r="D5" i="3"/>
  <c r="D4" i="3"/>
  <c r="D6" i="3"/>
  <c r="D3" i="3"/>
</calcChain>
</file>

<file path=xl/sharedStrings.xml><?xml version="1.0" encoding="utf-8"?>
<sst xmlns="http://schemas.openxmlformats.org/spreadsheetml/2006/main" count="133" uniqueCount="51">
  <si>
    <t>Grupo</t>
  </si>
  <si>
    <t>M1</t>
  </si>
  <si>
    <t>M2</t>
  </si>
  <si>
    <t>M4</t>
  </si>
  <si>
    <t>M5</t>
  </si>
  <si>
    <t>M6</t>
  </si>
  <si>
    <t>Claude Sonnet 4.6</t>
  </si>
  <si>
    <t>Modelo</t>
  </si>
  <si>
    <t>Herramienta IA</t>
  </si>
  <si>
    <t>Claude IA</t>
  </si>
  <si>
    <t>Claude Code</t>
  </si>
  <si>
    <t>Haiku 4.5</t>
  </si>
  <si>
    <t>Opus 4.7</t>
  </si>
  <si>
    <t>Web/IDE</t>
  </si>
  <si>
    <t>Geminis 3.1 Pro</t>
  </si>
  <si>
    <t>GPT 5 Mini</t>
  </si>
  <si>
    <t>metodología utilizada</t>
  </si>
  <si>
    <t>prompting tecnico</t>
  </si>
  <si>
    <t>M3</t>
  </si>
  <si>
    <t>Worflow FEPEC</t>
  </si>
  <si>
    <t>Deepseek v4 Mini Flash</t>
  </si>
  <si>
    <t>Formula utilizada</t>
  </si>
  <si>
    <t>Método</t>
  </si>
  <si>
    <t>Lenguaje</t>
  </si>
  <si>
    <t>W/I-Gemini</t>
  </si>
  <si>
    <t>W/I-Sonnet</t>
  </si>
  <si>
    <t>W/I-GPT5</t>
  </si>
  <si>
    <t>W/I-Deepseek</t>
  </si>
  <si>
    <t>CC-Sonnet</t>
  </si>
  <si>
    <t>CC-Opus</t>
  </si>
  <si>
    <t>PY</t>
  </si>
  <si>
    <t>JA</t>
  </si>
  <si>
    <t>psutil</t>
  </si>
  <si>
    <t>cpu promedio</t>
  </si>
  <si>
    <t>memoria promedio</t>
  </si>
  <si>
    <t>usa ps (CPU%/RSS) + jcmd GC.heap_info.</t>
  </si>
  <si>
    <t>java</t>
  </si>
  <si>
    <t>python</t>
  </si>
  <si>
    <t>metodo de uso de cpu y memoria</t>
  </si>
  <si>
    <t>CC-Haiku</t>
  </si>
  <si>
    <t>CIA-Sonnet</t>
  </si>
  <si>
    <t>ps + jcmd</t>
  </si>
  <si>
    <t>Docker</t>
  </si>
  <si>
    <t>Memoria Promedio</t>
  </si>
  <si>
    <t>Método de medición de Memoria utilizado por cada grupo</t>
  </si>
  <si>
    <t>Los valores de memoria corresponden a proyectos desarrollados en distintos lenguajes y entornos de ejecución. Debido a las diferencias en las metodologías de medición empleadas por los grupos, los resultados se presentan con fines descriptivos y exploratorios.</t>
  </si>
  <si>
    <t>Los valores de memoria oscilaron entre 15 MB y 396 MB.</t>
  </si>
  <si>
    <t>Se observaron diferencias significativas en el consumo de memoria entre las implementaciones analizadas.</t>
  </si>
  <si>
    <t>Las configuraciones evaluadas por el grupo M4 presentaron los menores consumos de memoria, mientras que las correspondientes al grupo M6 registraron los mayores valores.</t>
  </si>
  <si>
    <t>Claude Sonnet 4.6 +opus</t>
  </si>
  <si>
    <t>Haiku 4.5+opus+sonnet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</si>
</sst>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0" borderId="0" xfId="0" applyAlignment="1">
      <alignment horizontal="left" vertical="top"/>
    </xf>
    <xf numFmtId="0" fontId="0" fillId="6" borderId="0" xfId="0" applyFill="1"/>
    <xf numFmtId="0" fontId="0" fillId="4" borderId="0" xfId="0" applyFill="1" applyAlignment="1">
      <alignment horizontal="left" vertical="top"/>
    </xf>
    <xf numFmtId="0" fontId="1" fillId="0" borderId="0" xfId="0" applyFont="1"/>
    <xf numFmtId="0" fontId="0" fillId="4" borderId="0" xfId="0" applyFill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9" fontId="0" fillId="5" borderId="0" xfId="0" applyNumberFormat="1" applyFill="1" applyAlignment="1">
      <alignment horizontal="right" vertical="top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horizontal="left" vertical="center" indent="1"/>
    </xf>
    <xf numFmtId="10" fontId="0" fillId="5" borderId="0" xfId="0" applyNumberFormat="1" applyFill="1" applyAlignment="1">
      <alignment horizontal="right" vertical="top" wrapText="1"/>
    </xf>
    <xf numFmtId="10" fontId="0" fillId="5" borderId="0" xfId="0" applyNumberFormat="1" applyFill="1" applyAlignment="1">
      <alignment horizontal="right" vertical="top"/>
    </xf>
    <xf numFmtId="0" fontId="0" fillId="6" borderId="0" xfId="0" applyFill="1" applyAlignment="1">
      <alignment vertical="top"/>
    </xf>
    <xf numFmtId="9" fontId="0" fillId="5" borderId="0" xfId="0" applyNumberFormat="1" applyFill="1" applyAlignment="1">
      <alignment vertical="top"/>
    </xf>
    <xf numFmtId="0" fontId="2" fillId="0" borderId="0" xfId="0" applyFont="1"/>
    <xf numFmtId="164" fontId="0" fillId="0" borderId="0" xfId="1" applyNumberFormat="1" applyFont="1" applyAlignment="1">
      <alignment horizontal="right" vertical="center" wrapText="1"/>
    </xf>
    <xf numFmtId="164" fontId="0" fillId="0" borderId="0" xfId="1" applyNumberFormat="1" applyFont="1" applyAlignment="1">
      <alignment horizontal="right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Uso de Memoria Promedio (MB)</a:t>
            </a:r>
          </a:p>
          <a:p>
            <a:pPr>
              <a:defRPr/>
            </a:pP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de CPU para graficos'!$A$2:$C$2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W/I-Sonnet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graficos'!$D$2</c:f>
              <c:numCache>
                <c:formatCode>_-* #,##0_-;\-* #,##0_-;_-* "-"??_-;_-@_-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9-4A48-B828-F7DE8E4E51C0}"/>
            </c:ext>
          </c:extLst>
        </c:ser>
        <c:ser>
          <c:idx val="1"/>
          <c:order val="1"/>
          <c:tx>
            <c:strRef>
              <c:f>'Tablas de CPU para graficos'!$A$3:$C$3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W/I-Gemini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graficos'!$D$3</c:f>
              <c:numCache>
                <c:formatCode>_-* #,##0_-;\-* #,##0_-;_-* "-"??_-;_-@_-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19-4A48-B828-F7DE8E4E51C0}"/>
            </c:ext>
          </c:extLst>
        </c:ser>
        <c:ser>
          <c:idx val="2"/>
          <c:order val="2"/>
          <c:tx>
            <c:strRef>
              <c:f>'Tablas de CPU para graficos'!$A$4:$C$4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W/I-GPT5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graficos'!$D$4</c:f>
              <c:numCache>
                <c:formatCode>_-* #,##0_-;\-* #,##0_-;_-* "-"??_-;_-@_-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19-4A48-B828-F7DE8E4E51C0}"/>
            </c:ext>
          </c:extLst>
        </c:ser>
        <c:ser>
          <c:idx val="3"/>
          <c:order val="3"/>
          <c:tx>
            <c:strRef>
              <c:f>'Tablas de CPU para graficos'!$A$5:$C$5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W/I-Deepseek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graficos'!$D$5</c:f>
              <c:numCache>
                <c:formatCode>_-* #,##0_-;\-* #,##0_-;_-* "-"??_-;_-@_-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19-4A48-B828-F7DE8E4E51C0}"/>
            </c:ext>
          </c:extLst>
        </c:ser>
        <c:ser>
          <c:idx val="4"/>
          <c:order val="4"/>
          <c:tx>
            <c:strRef>
              <c:f>'Tablas de CPU para graficos'!$A$6:$C$6</c:f>
              <c:strCache>
                <c:ptCount val="3"/>
                <c:pt idx="0">
                  <c:v>M1</c:v>
                </c:pt>
                <c:pt idx="1">
                  <c:v>JA</c:v>
                </c:pt>
                <c:pt idx="2">
                  <c:v>CIA-Sonnet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graficos'!$D$6</c:f>
              <c:numCache>
                <c:formatCode>_-* #,##0_-;\-* #,##0_-;_-* "-"??_-;_-@_-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19-4A48-B828-F7DE8E4E51C0}"/>
            </c:ext>
          </c:extLst>
        </c:ser>
        <c:ser>
          <c:idx val="5"/>
          <c:order val="5"/>
          <c:tx>
            <c:strRef>
              <c:f>'Tablas de CPU para graficos'!$A$7:$C$7</c:f>
              <c:strCache>
                <c:ptCount val="3"/>
                <c:pt idx="0">
                  <c:v>M2</c:v>
                </c:pt>
                <c:pt idx="1">
                  <c:v>PY</c:v>
                </c:pt>
                <c:pt idx="2">
                  <c:v>CC-Opus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graficos'!$D$7</c:f>
              <c:numCache>
                <c:formatCode>_-* #,##0_-;\-* #,##0_-;_-*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19-4A48-B828-F7DE8E4E51C0}"/>
            </c:ext>
          </c:extLst>
        </c:ser>
        <c:ser>
          <c:idx val="6"/>
          <c:order val="6"/>
          <c:tx>
            <c:strRef>
              <c:f>'Tablas de CPU para graficos'!$A$8:$C$8</c:f>
              <c:strCache>
                <c:ptCount val="3"/>
                <c:pt idx="0">
                  <c:v>M2</c:v>
                </c:pt>
                <c:pt idx="1">
                  <c:v>PY</c:v>
                </c:pt>
                <c:pt idx="2">
                  <c:v>CC-Haiku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graficos'!$D$8</c:f>
              <c:numCache>
                <c:formatCode>_-* #,##0_-;\-* #,##0_-;_-* "-"??_-;_-@_-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19-4A48-B828-F7DE8E4E51C0}"/>
            </c:ext>
          </c:extLst>
        </c:ser>
        <c:ser>
          <c:idx val="7"/>
          <c:order val="7"/>
          <c:tx>
            <c:strRef>
              <c:f>'Tablas de CPU para graficos'!$A$9:$C$9</c:f>
              <c:strCache>
                <c:ptCount val="3"/>
                <c:pt idx="0">
                  <c:v>M5</c:v>
                </c:pt>
                <c:pt idx="1">
                  <c:v>JA</c:v>
                </c:pt>
                <c:pt idx="2">
                  <c:v>CC-Sonnet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graficos'!$D$9</c:f>
              <c:numCache>
                <c:formatCode>_-* #,##0_-;\-* #,##0_-;_-* "-"??_-;_-@_-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19-4A48-B828-F7DE8E4E51C0}"/>
            </c:ext>
          </c:extLst>
        </c:ser>
        <c:ser>
          <c:idx val="8"/>
          <c:order val="8"/>
          <c:tx>
            <c:strRef>
              <c:f>'Tablas de CPU para graficos'!$A$10:$C$10</c:f>
              <c:strCache>
                <c:ptCount val="3"/>
                <c:pt idx="0">
                  <c:v>M5</c:v>
                </c:pt>
                <c:pt idx="1">
                  <c:v>JA</c:v>
                </c:pt>
                <c:pt idx="2">
                  <c:v>CC-Opus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graficos'!$D$10</c:f>
              <c:numCache>
                <c:formatCode>_-* #,##0_-;\-* #,##0_-;_-*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19-4A48-B828-F7DE8E4E51C0}"/>
            </c:ext>
          </c:extLst>
        </c:ser>
        <c:ser>
          <c:idx val="9"/>
          <c:order val="9"/>
          <c:tx>
            <c:strRef>
              <c:f>'Tablas de CPU para graficos'!$A$11:$C$11</c:f>
              <c:strCache>
                <c:ptCount val="3"/>
                <c:pt idx="0">
                  <c:v>M3</c:v>
                </c:pt>
                <c:pt idx="1">
                  <c:v>JA</c:v>
                </c:pt>
                <c:pt idx="2">
                  <c:v>CC-Opus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graficos'!$D$11</c:f>
              <c:numCache>
                <c:formatCode>_-* #,##0_-;\-* #,##0_-;_-* "-"??_-;_-@_-</c:formatCode>
                <c:ptCount val="1"/>
                <c:pt idx="0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19-4A48-B828-F7DE8E4E51C0}"/>
            </c:ext>
          </c:extLst>
        </c:ser>
        <c:ser>
          <c:idx val="10"/>
          <c:order val="10"/>
          <c:tx>
            <c:strRef>
              <c:f>'Tablas de CPU para graficos'!$A$12:$C$12</c:f>
              <c:strCache>
                <c:ptCount val="3"/>
                <c:pt idx="0">
                  <c:v>M3</c:v>
                </c:pt>
                <c:pt idx="1">
                  <c:v>JA</c:v>
                </c:pt>
                <c:pt idx="2">
                  <c:v>CC-Haiku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graficos'!$D$12</c:f>
              <c:numCache>
                <c:formatCode>_-* #,##0_-;\-* #,##0_-;_-* "-"??_-;_-@_-</c:formatCode>
                <c:ptCount val="1"/>
                <c:pt idx="0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19-4A48-B828-F7DE8E4E51C0}"/>
            </c:ext>
          </c:extLst>
        </c:ser>
        <c:ser>
          <c:idx val="11"/>
          <c:order val="11"/>
          <c:tx>
            <c:strRef>
              <c:f>'Tablas de CPU para graficos'!$A$13:$C$13</c:f>
              <c:strCache>
                <c:ptCount val="3"/>
                <c:pt idx="0">
                  <c:v>M6</c:v>
                </c:pt>
                <c:pt idx="1">
                  <c:v>PY</c:v>
                </c:pt>
                <c:pt idx="2">
                  <c:v>CC-Sonnet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graficos'!$D$13</c:f>
              <c:numCache>
                <c:formatCode>_-* #,##0_-;\-* #,##0_-;_-* "-"??_-;_-@_-</c:formatCode>
                <c:ptCount val="1"/>
                <c:pt idx="0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719-4A48-B828-F7DE8E4E51C0}"/>
            </c:ext>
          </c:extLst>
        </c:ser>
        <c:ser>
          <c:idx val="12"/>
          <c:order val="12"/>
          <c:tx>
            <c:strRef>
              <c:f>'Tablas de CPU para graficos'!$A$14:$C$14</c:f>
              <c:strCache>
                <c:ptCount val="3"/>
                <c:pt idx="0">
                  <c:v>M6</c:v>
                </c:pt>
                <c:pt idx="1">
                  <c:v>PY</c:v>
                </c:pt>
                <c:pt idx="2">
                  <c:v>CC-Opus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Memoria Promedio</c:v>
                </c:pt>
              </c:strCache>
            </c:strRef>
          </c:cat>
          <c:val>
            <c:numRef>
              <c:f>'Tablas de CPU para graficos'!$D$14</c:f>
              <c:numCache>
                <c:formatCode>_-* #,##0_-;\-* #,##0_-;_-* "-"??_-;_-@_-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19-4A48-B828-F7DE8E4E5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32162736"/>
        <c:axId val="732161904"/>
      </c:barChart>
      <c:catAx>
        <c:axId val="73216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2161904"/>
        <c:crosses val="autoZero"/>
        <c:auto val="1"/>
        <c:lblAlgn val="ctr"/>
        <c:lblOffset val="100"/>
        <c:noMultiLvlLbl val="0"/>
      </c:catAx>
      <c:valAx>
        <c:axId val="73216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2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508000</xdr:colOff>
      <xdr:row>1</xdr:row>
      <xdr:rowOff>36286</xdr:rowOff>
    </xdr:from>
    <xdr:to>
      <xdr:col>8</xdr:col>
      <xdr:colOff>555625</xdr:colOff>
      <xdr:row>20</xdr:row>
      <xdr:rowOff>78469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1918CA-154E-491D-A5BE-36D8713C7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70" zoomScaleNormal="70" workbookViewId="0">
      <selection activeCell="G3" sqref="G3"/>
    </sheetView>
  </sheetViews>
  <sheetFormatPr baseColWidth="10" defaultColWidth="8.7265625" defaultRowHeight="14.5" x14ac:dyDescent="0.35"/>
  <cols>
    <col min="1" max="1" width="17.54296875" customWidth="1"/>
    <col min="2" max="2" width="37.26953125" customWidth="1"/>
    <col min="3" max="3" width="22.90625" customWidth="1"/>
    <col min="4" max="4" width="22" customWidth="1"/>
    <col min="5" max="5" width="30.26953125" customWidth="1"/>
    <col min="6" max="6" width="22.90625" customWidth="1"/>
    <col min="7" max="7" width="30.6328125" customWidth="1"/>
    <col min="8" max="8" width="32.54296875" customWidth="1"/>
    <col min="9" max="9" width="34.1796875" customWidth="1"/>
  </cols>
  <sheetData>
    <row r="1" spans="1:9" x14ac:dyDescent="0.35">
      <c r="A1" s="1" t="s">
        <v>0</v>
      </c>
      <c r="B1" s="1" t="s">
        <v>38</v>
      </c>
      <c r="C1" s="1" t="s">
        <v>8</v>
      </c>
      <c r="D1" s="1" t="s">
        <v>7</v>
      </c>
      <c r="E1" s="1" t="s">
        <v>16</v>
      </c>
      <c r="F1" s="1" t="s">
        <v>23</v>
      </c>
      <c r="G1" s="1" t="s">
        <v>33</v>
      </c>
      <c r="H1" s="1" t="s">
        <v>34</v>
      </c>
      <c r="I1" s="1" t="s">
        <v>21</v>
      </c>
    </row>
    <row r="2" spans="1:9" x14ac:dyDescent="0.35">
      <c r="A2" s="2" t="s">
        <v>1</v>
      </c>
      <c r="B2" s="4" t="s">
        <v>32</v>
      </c>
      <c r="C2" s="4" t="s">
        <v>9</v>
      </c>
      <c r="D2" s="4" t="s">
        <v>6</v>
      </c>
      <c r="E2" s="4" t="s">
        <v>17</v>
      </c>
      <c r="F2" s="4" t="s">
        <v>36</v>
      </c>
      <c r="G2" s="13">
        <v>3.5000000000000003E-2</v>
      </c>
      <c r="H2" s="7">
        <v>52</v>
      </c>
      <c r="I2" s="4"/>
    </row>
    <row r="3" spans="1:9" x14ac:dyDescent="0.35">
      <c r="A3" s="2" t="s">
        <v>2</v>
      </c>
      <c r="B3" s="4"/>
      <c r="C3" s="10" t="s">
        <v>10</v>
      </c>
      <c r="D3" s="5" t="s">
        <v>50</v>
      </c>
      <c r="E3" s="6" t="s">
        <v>17</v>
      </c>
      <c r="F3" s="10" t="s">
        <v>37</v>
      </c>
      <c r="G3" s="13">
        <v>0.5</v>
      </c>
      <c r="H3" s="7">
        <v>68</v>
      </c>
    </row>
    <row r="4" spans="1:9" x14ac:dyDescent="0.35">
      <c r="A4" s="27" t="s">
        <v>18</v>
      </c>
      <c r="B4" s="28"/>
      <c r="C4" s="8" t="s">
        <v>10</v>
      </c>
      <c r="D4" s="5" t="s">
        <v>11</v>
      </c>
      <c r="E4" s="6" t="s">
        <v>19</v>
      </c>
      <c r="F4" s="10" t="s">
        <v>36</v>
      </c>
      <c r="G4" s="13">
        <v>0.42</v>
      </c>
      <c r="H4" s="7">
        <v>238</v>
      </c>
    </row>
    <row r="5" spans="1:9" x14ac:dyDescent="0.35">
      <c r="A5" s="27"/>
      <c r="B5" s="28"/>
      <c r="C5" s="8" t="s">
        <v>10</v>
      </c>
      <c r="D5" s="5" t="s">
        <v>12</v>
      </c>
      <c r="E5" s="6" t="s">
        <v>19</v>
      </c>
      <c r="F5" s="10" t="s">
        <v>36</v>
      </c>
      <c r="G5" s="13">
        <v>0.42</v>
      </c>
      <c r="H5" s="7">
        <v>238</v>
      </c>
    </row>
    <row r="6" spans="1:9" x14ac:dyDescent="0.35">
      <c r="A6" s="2" t="s">
        <v>3</v>
      </c>
      <c r="B6" s="4" t="s">
        <v>32</v>
      </c>
      <c r="C6" s="4" t="s">
        <v>13</v>
      </c>
      <c r="D6" s="4" t="s">
        <v>14</v>
      </c>
      <c r="E6" s="6" t="s">
        <v>17</v>
      </c>
      <c r="F6" s="10" t="s">
        <v>37</v>
      </c>
      <c r="G6" s="20">
        <v>5.0000000000000001E-3</v>
      </c>
      <c r="H6" s="11">
        <v>20</v>
      </c>
      <c r="I6" s="6"/>
    </row>
    <row r="7" spans="1:9" x14ac:dyDescent="0.35">
      <c r="A7" s="2"/>
      <c r="B7" s="4" t="s">
        <v>32</v>
      </c>
      <c r="C7" s="4" t="s">
        <v>13</v>
      </c>
      <c r="D7" s="4" t="s">
        <v>6</v>
      </c>
      <c r="E7" s="6" t="s">
        <v>17</v>
      </c>
      <c r="F7" s="10" t="s">
        <v>37</v>
      </c>
      <c r="G7" s="20">
        <v>2E-3</v>
      </c>
      <c r="H7" s="7">
        <v>15</v>
      </c>
    </row>
    <row r="8" spans="1:9" x14ac:dyDescent="0.35">
      <c r="A8" s="2"/>
      <c r="B8" s="4" t="s">
        <v>32</v>
      </c>
      <c r="C8" s="4" t="s">
        <v>13</v>
      </c>
      <c r="D8" s="4" t="s">
        <v>15</v>
      </c>
      <c r="E8" s="6" t="s">
        <v>17</v>
      </c>
      <c r="F8" s="10" t="s">
        <v>37</v>
      </c>
      <c r="G8" s="21">
        <v>0.1061</v>
      </c>
      <c r="H8" s="7">
        <v>20</v>
      </c>
    </row>
    <row r="9" spans="1:9" x14ac:dyDescent="0.35">
      <c r="A9" s="2"/>
      <c r="B9" s="4" t="s">
        <v>32</v>
      </c>
      <c r="C9" s="4" t="s">
        <v>13</v>
      </c>
      <c r="D9" s="4" t="s">
        <v>20</v>
      </c>
      <c r="E9" s="6" t="s">
        <v>17</v>
      </c>
      <c r="F9" s="10" t="s">
        <v>37</v>
      </c>
      <c r="G9" s="21">
        <v>0.12429999999999999</v>
      </c>
      <c r="H9" s="7">
        <v>20</v>
      </c>
    </row>
    <row r="10" spans="1:9" x14ac:dyDescent="0.35">
      <c r="A10" s="3" t="s">
        <v>4</v>
      </c>
      <c r="B10" s="4" t="s">
        <v>35</v>
      </c>
      <c r="C10" s="5" t="s">
        <v>10</v>
      </c>
      <c r="D10" s="4" t="s">
        <v>49</v>
      </c>
      <c r="E10" s="6" t="s">
        <v>17</v>
      </c>
      <c r="F10" s="5" t="s">
        <v>36</v>
      </c>
      <c r="G10" s="20">
        <v>2.0333000000000001</v>
      </c>
      <c r="H10" s="22">
        <v>200</v>
      </c>
      <c r="I10" s="12"/>
    </row>
    <row r="11" spans="1:9" x14ac:dyDescent="0.35">
      <c r="A11" s="3" t="s">
        <v>5</v>
      </c>
      <c r="B11" s="5"/>
      <c r="C11" s="8" t="s">
        <v>10</v>
      </c>
      <c r="D11" s="5" t="s">
        <v>12</v>
      </c>
      <c r="E11" s="6" t="s">
        <v>17</v>
      </c>
      <c r="F11" s="10" t="s">
        <v>37</v>
      </c>
      <c r="G11" s="23">
        <v>3.04</v>
      </c>
      <c r="H11" s="7">
        <v>396</v>
      </c>
      <c r="I11" s="12"/>
    </row>
  </sheetData>
  <mergeCells count="2">
    <mergeCell ref="A4:A5"/>
    <mergeCell ref="B4:B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B81F-7908-49F4-B481-D1D00139CAB6}">
  <dimension ref="A1:D21"/>
  <sheetViews>
    <sheetView workbookViewId="0">
      <selection activeCell="J5" sqref="J5"/>
    </sheetView>
  </sheetViews>
  <sheetFormatPr baseColWidth="10" defaultRowHeight="14.5" x14ac:dyDescent="0.35"/>
  <cols>
    <col min="2" max="2" width="15.26953125" customWidth="1"/>
    <col min="3" max="3" width="15.08984375" customWidth="1"/>
    <col min="4" max="4" width="22" customWidth="1"/>
  </cols>
  <sheetData>
    <row r="1" spans="1:4" ht="29" x14ac:dyDescent="0.35">
      <c r="A1" s="15" t="s">
        <v>0</v>
      </c>
      <c r="B1" s="15" t="s">
        <v>23</v>
      </c>
      <c r="C1" s="15" t="s">
        <v>7</v>
      </c>
      <c r="D1" s="17" t="s">
        <v>43</v>
      </c>
    </row>
    <row r="2" spans="1:4" x14ac:dyDescent="0.35">
      <c r="A2" s="16" t="s">
        <v>3</v>
      </c>
      <c r="B2" s="16" t="s">
        <v>30</v>
      </c>
      <c r="C2" s="16" t="s">
        <v>25</v>
      </c>
      <c r="D2" s="25">
        <f>'CPU y memoria'!H7</f>
        <v>15</v>
      </c>
    </row>
    <row r="3" spans="1:4" x14ac:dyDescent="0.35">
      <c r="A3" s="16" t="s">
        <v>3</v>
      </c>
      <c r="B3" s="16" t="s">
        <v>30</v>
      </c>
      <c r="C3" s="16" t="s">
        <v>24</v>
      </c>
      <c r="D3" s="25">
        <f>'CPU y memoria'!H6</f>
        <v>20</v>
      </c>
    </row>
    <row r="4" spans="1:4" x14ac:dyDescent="0.35">
      <c r="A4" s="16" t="s">
        <v>3</v>
      </c>
      <c r="B4" s="16" t="s">
        <v>30</v>
      </c>
      <c r="C4" s="16" t="s">
        <v>26</v>
      </c>
      <c r="D4" s="25">
        <f>'CPU y memoria'!H8</f>
        <v>20</v>
      </c>
    </row>
    <row r="5" spans="1:4" x14ac:dyDescent="0.35">
      <c r="A5" s="16" t="s">
        <v>3</v>
      </c>
      <c r="B5" s="16" t="s">
        <v>30</v>
      </c>
      <c r="C5" s="16" t="s">
        <v>27</v>
      </c>
      <c r="D5" s="25">
        <f>'CPU y memoria'!H9</f>
        <v>20</v>
      </c>
    </row>
    <row r="6" spans="1:4" x14ac:dyDescent="0.35">
      <c r="A6" s="16" t="s">
        <v>1</v>
      </c>
      <c r="B6" s="16" t="s">
        <v>31</v>
      </c>
      <c r="C6" s="16" t="s">
        <v>40</v>
      </c>
      <c r="D6" s="26">
        <f>'CPU y memoria'!H2</f>
        <v>52</v>
      </c>
    </row>
    <row r="7" spans="1:4" x14ac:dyDescent="0.35">
      <c r="A7" s="16" t="s">
        <v>2</v>
      </c>
      <c r="B7" s="16" t="s">
        <v>30</v>
      </c>
      <c r="C7" s="16" t="s">
        <v>29</v>
      </c>
      <c r="D7" s="26" t="e">
        <f>'CPU y memoria'!#REF!</f>
        <v>#REF!</v>
      </c>
    </row>
    <row r="8" spans="1:4" x14ac:dyDescent="0.35">
      <c r="A8" s="16" t="s">
        <v>2</v>
      </c>
      <c r="B8" s="16" t="s">
        <v>30</v>
      </c>
      <c r="C8" s="16" t="s">
        <v>39</v>
      </c>
      <c r="D8" s="26">
        <f>'CPU y memoria'!H3</f>
        <v>68</v>
      </c>
    </row>
    <row r="9" spans="1:4" x14ac:dyDescent="0.35">
      <c r="A9" s="16" t="s">
        <v>4</v>
      </c>
      <c r="B9" s="16" t="s">
        <v>31</v>
      </c>
      <c r="C9" s="16" t="s">
        <v>28</v>
      </c>
      <c r="D9" s="25">
        <f>'CPU y memoria'!H10</f>
        <v>200</v>
      </c>
    </row>
    <row r="10" spans="1:4" x14ac:dyDescent="0.35">
      <c r="A10" s="16" t="s">
        <v>4</v>
      </c>
      <c r="B10" s="16" t="s">
        <v>31</v>
      </c>
      <c r="C10" s="16" t="s">
        <v>29</v>
      </c>
      <c r="D10" s="25" t="e">
        <f>'CPU y memoria'!#REF!</f>
        <v>#REF!</v>
      </c>
    </row>
    <row r="11" spans="1:4" x14ac:dyDescent="0.35">
      <c r="A11" s="16" t="s">
        <v>18</v>
      </c>
      <c r="B11" s="16" t="s">
        <v>31</v>
      </c>
      <c r="C11" s="16" t="s">
        <v>29</v>
      </c>
      <c r="D11" s="26">
        <f>'CPU y memoria'!H4</f>
        <v>238</v>
      </c>
    </row>
    <row r="12" spans="1:4" x14ac:dyDescent="0.35">
      <c r="A12" s="16" t="s">
        <v>18</v>
      </c>
      <c r="B12" s="16" t="s">
        <v>31</v>
      </c>
      <c r="C12" s="16" t="s">
        <v>39</v>
      </c>
      <c r="D12" s="26">
        <f>'CPU y memoria'!H4</f>
        <v>238</v>
      </c>
    </row>
    <row r="13" spans="1:4" x14ac:dyDescent="0.35">
      <c r="A13" s="16" t="s">
        <v>5</v>
      </c>
      <c r="B13" s="16" t="s">
        <v>30</v>
      </c>
      <c r="C13" s="16" t="s">
        <v>28</v>
      </c>
      <c r="D13" s="25">
        <f>'CPU y memoria'!H11</f>
        <v>396</v>
      </c>
    </row>
    <row r="14" spans="1:4" x14ac:dyDescent="0.35">
      <c r="A14" s="16" t="s">
        <v>5</v>
      </c>
      <c r="B14" s="16" t="s">
        <v>30</v>
      </c>
      <c r="C14" s="16" t="s">
        <v>29</v>
      </c>
      <c r="D14" s="25" t="e">
        <f>'CPU y memoria'!#REF!</f>
        <v>#REF!</v>
      </c>
    </row>
    <row r="16" spans="1:4" x14ac:dyDescent="0.35">
      <c r="A16" s="15" t="s">
        <v>0</v>
      </c>
      <c r="B16" s="15" t="s">
        <v>22</v>
      </c>
    </row>
    <row r="17" spans="1:2" x14ac:dyDescent="0.35">
      <c r="A17" s="18" t="s">
        <v>1</v>
      </c>
      <c r="B17" s="14" t="s">
        <v>32</v>
      </c>
    </row>
    <row r="18" spans="1:2" x14ac:dyDescent="0.35">
      <c r="A18" s="18" t="s">
        <v>3</v>
      </c>
      <c r="B18" s="14" t="s">
        <v>32</v>
      </c>
    </row>
    <row r="19" spans="1:2" x14ac:dyDescent="0.35">
      <c r="A19" s="18" t="s">
        <v>4</v>
      </c>
      <c r="B19" s="14" t="s">
        <v>41</v>
      </c>
    </row>
    <row r="20" spans="1:2" x14ac:dyDescent="0.35">
      <c r="A20" s="18" t="s">
        <v>2</v>
      </c>
      <c r="B20" s="14" t="s">
        <v>42</v>
      </c>
    </row>
    <row r="21" spans="1:2" x14ac:dyDescent="0.35">
      <c r="A21" s="18" t="s">
        <v>18</v>
      </c>
      <c r="B21" s="14" t="s">
        <v>42</v>
      </c>
    </row>
  </sheetData>
  <sortState xmlns:xlrd2="http://schemas.microsoft.com/office/spreadsheetml/2017/richdata2" ref="A2:D21">
    <sortCondition ref="D1:D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0D5A-84AC-4B7D-86FB-ADA9FE12245C}">
  <dimension ref="B1:K30"/>
  <sheetViews>
    <sheetView tabSelected="1" zoomScale="70" zoomScaleNormal="70" workbookViewId="0">
      <selection activeCell="K21" sqref="K21"/>
    </sheetView>
  </sheetViews>
  <sheetFormatPr baseColWidth="10" defaultRowHeight="14.5" x14ac:dyDescent="0.35"/>
  <cols>
    <col min="10" max="10" width="19.7265625" customWidth="1"/>
  </cols>
  <sheetData>
    <row r="1" spans="10:11" x14ac:dyDescent="0.35">
      <c r="J1" s="24" t="s">
        <v>44</v>
      </c>
    </row>
    <row r="2" spans="10:11" x14ac:dyDescent="0.35">
      <c r="J2" s="15" t="s">
        <v>0</v>
      </c>
      <c r="K2" s="15" t="s">
        <v>22</v>
      </c>
    </row>
    <row r="3" spans="10:11" x14ac:dyDescent="0.35">
      <c r="J3" s="18" t="s">
        <v>1</v>
      </c>
      <c r="K3" s="14" t="s">
        <v>32</v>
      </c>
    </row>
    <row r="4" spans="10:11" x14ac:dyDescent="0.35">
      <c r="J4" s="18" t="s">
        <v>3</v>
      </c>
      <c r="K4" s="14" t="s">
        <v>32</v>
      </c>
    </row>
    <row r="5" spans="10:11" x14ac:dyDescent="0.35">
      <c r="J5" s="18" t="s">
        <v>4</v>
      </c>
      <c r="K5" s="14" t="s">
        <v>41</v>
      </c>
    </row>
    <row r="6" spans="10:11" x14ac:dyDescent="0.35">
      <c r="J6" s="18" t="s">
        <v>2</v>
      </c>
      <c r="K6" s="14" t="s">
        <v>42</v>
      </c>
    </row>
    <row r="7" spans="10:11" x14ac:dyDescent="0.35">
      <c r="J7" s="18" t="s">
        <v>18</v>
      </c>
      <c r="K7" s="14" t="s">
        <v>42</v>
      </c>
    </row>
    <row r="24" spans="2:2" x14ac:dyDescent="0.35">
      <c r="B24" s="19"/>
    </row>
    <row r="25" spans="2:2" x14ac:dyDescent="0.35">
      <c r="B25" s="19" t="s">
        <v>45</v>
      </c>
    </row>
    <row r="26" spans="2:2" x14ac:dyDescent="0.35">
      <c r="B26" s="9"/>
    </row>
    <row r="27" spans="2:2" x14ac:dyDescent="0.35">
      <c r="B27" s="19" t="s">
        <v>46</v>
      </c>
    </row>
    <row r="28" spans="2:2" x14ac:dyDescent="0.35">
      <c r="B28" s="19" t="s">
        <v>47</v>
      </c>
    </row>
    <row r="29" spans="2:2" x14ac:dyDescent="0.35">
      <c r="B29" s="9"/>
    </row>
    <row r="30" spans="2:2" x14ac:dyDescent="0.35">
      <c r="B30" s="19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CPU y memoria</vt:lpstr>
      <vt:lpstr>Tablas de CPU para graficos</vt:lpstr>
      <vt:lpstr>Analisis 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2026-06-16T19:54:09Z</dcterms:modified>
</cp:coreProperties>
</file>