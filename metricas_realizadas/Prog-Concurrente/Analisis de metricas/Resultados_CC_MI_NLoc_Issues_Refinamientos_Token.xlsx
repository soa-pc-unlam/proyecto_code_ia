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07027A5C-F912-46A1-B07F-20F581BD2D1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esultado generales" sheetId="1" r:id="rId1"/>
    <sheet name="Analisis de resultados" sheetId="2" r:id="rId2"/>
    <sheet name="refinamientos" sheetId="3" r:id="rId3"/>
    <sheet name="Eficiencia" sheetId="4" r:id="rId4"/>
    <sheet name="NLoc Total" sheetId="5" r:id="rId5"/>
    <sheet name="Token promp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5" l="1"/>
  <c r="B11" i="5"/>
  <c r="B7" i="5"/>
  <c r="B3" i="5"/>
  <c r="B6" i="5"/>
  <c r="B2" i="5"/>
  <c r="B8" i="5"/>
  <c r="B9" i="5"/>
  <c r="B10" i="5"/>
  <c r="B4" i="5"/>
  <c r="A5" i="5"/>
  <c r="A11" i="5"/>
  <c r="A7" i="5"/>
  <c r="A3" i="5"/>
  <c r="A6" i="5"/>
  <c r="A2" i="5"/>
  <c r="A8" i="5"/>
  <c r="A9" i="5"/>
  <c r="A10" i="5"/>
  <c r="B5" i="3"/>
  <c r="B11" i="3"/>
  <c r="B4" i="3"/>
  <c r="B3" i="3"/>
  <c r="B6" i="3"/>
  <c r="B2" i="3"/>
  <c r="B8" i="3"/>
  <c r="B7" i="3"/>
  <c r="B10" i="3"/>
  <c r="B9" i="3"/>
  <c r="A5" i="3"/>
  <c r="A11" i="3"/>
  <c r="A4" i="3"/>
  <c r="A3" i="3"/>
  <c r="A6" i="3"/>
  <c r="A2" i="3"/>
  <c r="A8" i="3"/>
  <c r="A7" i="3"/>
  <c r="A10" i="3"/>
  <c r="A9" i="3"/>
  <c r="B11" i="4"/>
  <c r="B5" i="4"/>
  <c r="B8" i="4"/>
  <c r="B6" i="4"/>
  <c r="B7" i="4"/>
  <c r="B9" i="4"/>
  <c r="B3" i="4"/>
  <c r="B4" i="4"/>
  <c r="B2" i="4"/>
  <c r="B10" i="4"/>
  <c r="A11" i="4"/>
  <c r="A5" i="4"/>
  <c r="A8" i="4"/>
  <c r="A6" i="4"/>
  <c r="A7" i="4"/>
  <c r="A9" i="4"/>
  <c r="A3" i="4"/>
  <c r="A4" i="4"/>
  <c r="A2" i="4"/>
  <c r="A10" i="4"/>
  <c r="A4" i="5"/>
  <c r="B2" i="6"/>
  <c r="B10" i="6"/>
  <c r="B6" i="6"/>
  <c r="B5" i="6"/>
  <c r="B7" i="6"/>
  <c r="B3" i="6"/>
  <c r="B9" i="6"/>
  <c r="B8" i="6"/>
  <c r="B11" i="6"/>
  <c r="B4" i="6"/>
  <c r="B1" i="6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<sst xmlns="http://schemas.openxmlformats.org/spreadsheetml/2006/main" count="81" uniqueCount="43">
  <si>
    <t>Grupo</t>
  </si>
  <si>
    <t>Modelo</t>
  </si>
  <si>
    <t>avgCCN</t>
  </si>
  <si>
    <t>MI</t>
  </si>
  <si>
    <t>Issues/KLOC</t>
  </si>
  <si>
    <t>Críticos</t>
  </si>
  <si>
    <t>Refinamientos</t>
  </si>
  <si>
    <t>M1</t>
  </si>
  <si>
    <t>Sonnet</t>
  </si>
  <si>
    <t>M2</t>
  </si>
  <si>
    <t>Haiku+Sonnet+Opus</t>
  </si>
  <si>
    <t>M3</t>
  </si>
  <si>
    <t>Haiku</t>
  </si>
  <si>
    <t>M4</t>
  </si>
  <si>
    <t>M5</t>
  </si>
  <si>
    <t>M6</t>
  </si>
  <si>
    <t>claude.ia</t>
  </si>
  <si>
    <t>Herramienta</t>
  </si>
  <si>
    <t>Lenguaje</t>
  </si>
  <si>
    <t>Java</t>
  </si>
  <si>
    <t>Opus</t>
  </si>
  <si>
    <t>Python</t>
  </si>
  <si>
    <t>Claude Code</t>
  </si>
  <si>
    <t>Web/IDE</t>
  </si>
  <si>
    <t>Gemini Pro</t>
  </si>
  <si>
    <t>GPT Mini</t>
  </si>
  <si>
    <t>Deepseek</t>
  </si>
  <si>
    <t>Sonnet+Opus</t>
  </si>
  <si>
    <t>Tokens prompt</t>
  </si>
  <si>
    <t>N°</t>
  </si>
  <si>
    <t>CI-S</t>
  </si>
  <si>
    <t>CC-HSO</t>
  </si>
  <si>
    <t xml:space="preserve">CC-H </t>
  </si>
  <si>
    <t>CC-O</t>
  </si>
  <si>
    <t>W-S</t>
  </si>
  <si>
    <t>W-GP</t>
  </si>
  <si>
    <t>W-GE</t>
  </si>
  <si>
    <t>W-D</t>
  </si>
  <si>
    <t>CC-SO</t>
  </si>
  <si>
    <t>NLoc Total</t>
  </si>
  <si>
    <t>NLoc Prom</t>
  </si>
  <si>
    <t>Eficiencia</t>
  </si>
  <si>
    <t>Nloc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</si>
</sst>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/>
    <xf numFmtId="0" fontId="1" fillId="4" borderId="0" xfId="0" applyFont="1" applyFill="1"/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/>
    <xf numFmtId="16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Complejidad vs Mantenibilidad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64D3796-913A-4AD9-82BB-B70FEB278892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90A-4FC9-917A-8AEA09C60C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22533DA-5E2A-441B-9E8D-3F738B0F2F77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90A-4FC9-917A-8AEA09C60C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946C7FD-395E-4B2C-8208-577B7C6C819A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90A-4FC9-917A-8AEA09C60C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347BDB-4619-4F83-9746-169EAD86D45A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90A-4FC9-917A-8AEA09C60C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25A68F7-2A06-446A-9AA3-784756103393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90A-4FC9-917A-8AEA09C60C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E6F5E4C-5562-44DC-B9FA-9D823C47386D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90A-4FC9-917A-8AEA09C60C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8C91F3B-7E9A-44DE-BA98-77010BF98074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90A-4FC9-917A-8AEA09C60C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24A96F9-3819-459C-932D-14C8A877A6C2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90A-4FC9-917A-8AEA09C60C23}"/>
                </c:ext>
              </c:extLst>
            </c:dLbl>
            <c:dLbl>
              <c:idx val="8"/>
              <c:layout>
                <c:manualLayout>
                  <c:x val="-3.5057571826510189E-2"/>
                  <c:y val="-4.6019823179997234E-2"/>
                </c:manualLayout>
              </c:layout>
              <c:tx>
                <c:rich>
                  <a:bodyPr/>
                  <a:lstStyle/>
                  <a:p>
                    <a:fld id="{46D90C85-3DCD-4797-B1D6-331C4AD3F3D9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90A-4FC9-917A-8AEA09C60C2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537AEB5-5FF5-451D-BA17-1A01C8E3DC60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90A-4FC9-917A-8AEA09C60C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'Resultado generales'!$F$2:$F$11</c:f>
              <c:numCache>
                <c:formatCode>General</c:formatCode>
                <c:ptCount val="10"/>
                <c:pt idx="0">
                  <c:v>1.45</c:v>
                </c:pt>
                <c:pt idx="1">
                  <c:v>2.74</c:v>
                </c:pt>
                <c:pt idx="2">
                  <c:v>2.1800000000000002</c:v>
                </c:pt>
                <c:pt idx="3">
                  <c:v>2.84</c:v>
                </c:pt>
                <c:pt idx="4">
                  <c:v>2.6</c:v>
                </c:pt>
                <c:pt idx="5">
                  <c:v>2.3199999999999998</c:v>
                </c:pt>
                <c:pt idx="6">
                  <c:v>3.4</c:v>
                </c:pt>
                <c:pt idx="7">
                  <c:v>3.29</c:v>
                </c:pt>
                <c:pt idx="8">
                  <c:v>2.25</c:v>
                </c:pt>
                <c:pt idx="9">
                  <c:v>1.7</c:v>
                </c:pt>
              </c:numCache>
            </c:numRef>
          </c:xVal>
          <c:yVal>
            <c:numRef>
              <c:f>'Resultado generales'!$G$2:$G$11</c:f>
              <c:numCache>
                <c:formatCode>General</c:formatCode>
                <c:ptCount val="10"/>
                <c:pt idx="0">
                  <c:v>50.4</c:v>
                </c:pt>
                <c:pt idx="1">
                  <c:v>42.6</c:v>
                </c:pt>
                <c:pt idx="2">
                  <c:v>47.2</c:v>
                </c:pt>
                <c:pt idx="3">
                  <c:v>51.5</c:v>
                </c:pt>
                <c:pt idx="4">
                  <c:v>29.2</c:v>
                </c:pt>
                <c:pt idx="5">
                  <c:v>22.1</c:v>
                </c:pt>
                <c:pt idx="6">
                  <c:v>26</c:v>
                </c:pt>
                <c:pt idx="7">
                  <c:v>21.9</c:v>
                </c:pt>
                <c:pt idx="8">
                  <c:v>41.7</c:v>
                </c:pt>
                <c:pt idx="9">
                  <c:v>52.8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'Resultado generales'!$A$2:$A$11</c15:f>
                <c15:dlblRangeCache>
                  <c:ptCount val="10"/>
                  <c:pt idx="0">
                    <c:v>CI-S</c:v>
                  </c:pt>
                  <c:pt idx="1">
                    <c:v>CC-HSO</c:v>
                  </c:pt>
                  <c:pt idx="2">
                    <c:v>CC-H </c:v>
                  </c:pt>
                  <c:pt idx="3">
                    <c:v>CC-O</c:v>
                  </c:pt>
                  <c:pt idx="4">
                    <c:v>W-GE</c:v>
                  </c:pt>
                  <c:pt idx="5">
                    <c:v>W-S</c:v>
                  </c:pt>
                  <c:pt idx="6">
                    <c:v>W-GP</c:v>
                  </c:pt>
                  <c:pt idx="7">
                    <c:v>W-D</c:v>
                  </c:pt>
                  <c:pt idx="8">
                    <c:v>CC-SO</c:v>
                  </c:pt>
                  <c:pt idx="9">
                    <c:v>CC-O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990A-4FC9-917A-8AEA09C60C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73814175"/>
        <c:axId val="1073815839"/>
      </c:scatterChart>
      <c:valAx>
        <c:axId val="107381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Complejidad</a:t>
                </a:r>
                <a:r>
                  <a:rPr lang="es-AR" baseline="0"/>
                  <a:t> Ciclomática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73815839"/>
        <c:crosses val="autoZero"/>
        <c:crossBetween val="midCat"/>
      </c:valAx>
      <c:valAx>
        <c:axId val="107381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Mantenibilidad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7381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Calidad del código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'Resultado generales'!$K$1</c:f>
              <c:strCache>
                <c:ptCount val="1"/>
                <c:pt idx="0">
                  <c:v>Críticos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'Resultado generales'!$A$2:$A$11</c:f>
              <c:strCache>
                <c:ptCount val="10"/>
                <c:pt idx="0">
                  <c:v>CI-S</c:v>
                </c:pt>
                <c:pt idx="1">
                  <c:v>CC-HSO</c:v>
                </c:pt>
                <c:pt idx="2">
                  <c:v>CC-H </c:v>
                </c:pt>
                <c:pt idx="3">
                  <c:v>CC-O</c:v>
                </c:pt>
                <c:pt idx="4">
                  <c:v>W-GE</c:v>
                </c:pt>
                <c:pt idx="5">
                  <c:v>W-S</c:v>
                </c:pt>
                <c:pt idx="6">
                  <c:v>W-GP</c:v>
                </c:pt>
                <c:pt idx="7">
                  <c:v>W-D</c:v>
                </c:pt>
                <c:pt idx="8">
                  <c:v>CC-SO</c:v>
                </c:pt>
                <c:pt idx="9">
                  <c:v>CC-O</c:v>
                </c:pt>
              </c:strCache>
            </c:strRef>
          </c:cat>
          <c:val>
            <c:numRef>
              <c:f>'Resultado generales'!$K$2:$K$11</c:f>
              <c:numCache>
                <c:formatCode>General</c:formatCode>
                <c:ptCount val="10"/>
                <c:pt idx="0">
                  <c:v>2</c:v>
                </c:pt>
                <c:pt idx="1">
                  <c:v>39</c:v>
                </c:pt>
                <c:pt idx="2">
                  <c:v>22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8-4B0F-8F38-57454E6F92C7}"/>
            </c:ext>
          </c:extLst>
        </c:ser>
        <c:ser>
          <c:idx val="1"/>
          <c:order val="1"/>
          <c:tx>
            <c:strRef>
              <c:f>'Resultado generales'!$J$1</c:f>
              <c:strCache>
                <c:ptCount val="1"/>
                <c:pt idx="0">
                  <c:v>Issues/KLOC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'Resultado generales'!$A$2:$A$11</c:f>
              <c:strCache>
                <c:ptCount val="10"/>
                <c:pt idx="0">
                  <c:v>CI-S</c:v>
                </c:pt>
                <c:pt idx="1">
                  <c:v>CC-HSO</c:v>
                </c:pt>
                <c:pt idx="2">
                  <c:v>CC-H </c:v>
                </c:pt>
                <c:pt idx="3">
                  <c:v>CC-O</c:v>
                </c:pt>
                <c:pt idx="4">
                  <c:v>W-GE</c:v>
                </c:pt>
                <c:pt idx="5">
                  <c:v>W-S</c:v>
                </c:pt>
                <c:pt idx="6">
                  <c:v>W-GP</c:v>
                </c:pt>
                <c:pt idx="7">
                  <c:v>W-D</c:v>
                </c:pt>
                <c:pt idx="8">
                  <c:v>CC-SO</c:v>
                </c:pt>
                <c:pt idx="9">
                  <c:v>CC-O</c:v>
                </c:pt>
              </c:strCache>
            </c:strRef>
          </c:cat>
          <c:val>
            <c:numRef>
              <c:f>'Resultado generales'!$J$2:$J$11</c:f>
              <c:numCache>
                <c:formatCode>General</c:formatCode>
                <c:ptCount val="10"/>
                <c:pt idx="0">
                  <c:v>13.16</c:v>
                </c:pt>
                <c:pt idx="1">
                  <c:v>129.06</c:v>
                </c:pt>
                <c:pt idx="2">
                  <c:v>59.77</c:v>
                </c:pt>
                <c:pt idx="3">
                  <c:v>54.49</c:v>
                </c:pt>
                <c:pt idx="4">
                  <c:v>228.26</c:v>
                </c:pt>
                <c:pt idx="5">
                  <c:v>109.13</c:v>
                </c:pt>
                <c:pt idx="6">
                  <c:v>174.34</c:v>
                </c:pt>
                <c:pt idx="7">
                  <c:v>115.68</c:v>
                </c:pt>
                <c:pt idx="8">
                  <c:v>22.41</c:v>
                </c:pt>
                <c:pt idx="9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38-4B0F-8F38-57454E6F92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249747135"/>
        <c:axId val="1249746303"/>
      </c:barChart>
      <c:catAx>
        <c:axId val="124974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9746303"/>
        <c:crosses val="autoZero"/>
        <c:auto val="1"/>
        <c:lblAlgn val="ctr"/>
        <c:lblOffset val="100"/>
        <c:noMultiLvlLbl val="0"/>
      </c:catAx>
      <c:valAx>
        <c:axId val="124974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Cantidad</a:t>
                </a:r>
                <a:r>
                  <a:rPr lang="es-AR" baseline="0"/>
                  <a:t> de Issues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974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Refinamientos realizados sobre el código generado por 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refinamientos!$A$2</c:f>
              <c:strCache>
                <c:ptCount val="1"/>
                <c:pt idx="0">
                  <c:v>W-GE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refinamientos!$B$1</c:f>
              <c:strCache>
                <c:ptCount val="1"/>
                <c:pt idx="0">
                  <c:v>Refinamientos</c:v>
                </c:pt>
              </c:strCache>
            </c:strRef>
          </c:cat>
          <c:val>
            <c:numRef>
              <c:f>refinamientos!$B$2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E-4A91-9ECB-10B5364CD383}"/>
            </c:ext>
          </c:extLst>
        </c:ser>
        <c:ser>
          <c:idx val="1"/>
          <c:order val="1"/>
          <c:tx>
            <c:strRef>
              <c:f>refinamientos!$A$3</c:f>
              <c:strCache>
                <c:ptCount val="1"/>
                <c:pt idx="0">
                  <c:v>W-GP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refinamientos!$B$1</c:f>
              <c:strCache>
                <c:ptCount val="1"/>
                <c:pt idx="0">
                  <c:v>Refinamientos</c:v>
                </c:pt>
              </c:strCache>
            </c:strRef>
          </c:cat>
          <c:val>
            <c:numRef>
              <c:f>refinamientos!$B$3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E-4A91-9ECB-10B5364CD383}"/>
            </c:ext>
          </c:extLst>
        </c:ser>
        <c:ser>
          <c:idx val="2"/>
          <c:order val="2"/>
          <c:tx>
            <c:strRef>
              <c:f>refinamientos!$A$4</c:f>
              <c:strCache>
                <c:ptCount val="1"/>
                <c:pt idx="0">
                  <c:v>W-D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refinamientos!$B$1</c:f>
              <c:strCache>
                <c:ptCount val="1"/>
                <c:pt idx="0">
                  <c:v>Refinamientos</c:v>
                </c:pt>
              </c:strCache>
            </c:strRef>
          </c:cat>
          <c:val>
            <c:numRef>
              <c:f>refinamientos!$B$4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5E-4A91-9ECB-10B5364CD383}"/>
            </c:ext>
          </c:extLst>
        </c:ser>
        <c:ser>
          <c:idx val="3"/>
          <c:order val="3"/>
          <c:tx>
            <c:strRef>
              <c:f>refinamientos!$A$5</c:f>
              <c:strCache>
                <c:ptCount val="1"/>
                <c:pt idx="0">
                  <c:v>CC-O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refinamientos!$B$1</c:f>
              <c:strCache>
                <c:ptCount val="1"/>
                <c:pt idx="0">
                  <c:v>Refinamientos</c:v>
                </c:pt>
              </c:strCache>
            </c:strRef>
          </c:cat>
          <c:val>
            <c:numRef>
              <c:f>refinamientos!$B$5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5E-4A91-9ECB-10B5364CD383}"/>
            </c:ext>
          </c:extLst>
        </c:ser>
        <c:ser>
          <c:idx val="4"/>
          <c:order val="4"/>
          <c:tx>
            <c:strRef>
              <c:f>refinamientos!$A$6</c:f>
              <c:strCache>
                <c:ptCount val="1"/>
                <c:pt idx="0">
                  <c:v>W-S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refinamientos!$B$1</c:f>
              <c:strCache>
                <c:ptCount val="1"/>
                <c:pt idx="0">
                  <c:v>Refinamientos</c:v>
                </c:pt>
              </c:strCache>
            </c:strRef>
          </c:cat>
          <c:val>
            <c:numRef>
              <c:f>refinamientos!$B$6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5E-4A91-9ECB-10B5364CD383}"/>
            </c:ext>
          </c:extLst>
        </c:ser>
        <c:ser>
          <c:idx val="5"/>
          <c:order val="5"/>
          <c:tx>
            <c:strRef>
              <c:f>refinamientos!$A$7</c:f>
              <c:strCache>
                <c:ptCount val="1"/>
                <c:pt idx="0">
                  <c:v>CC-H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refinamientos!$B$1</c:f>
              <c:strCache>
                <c:ptCount val="1"/>
                <c:pt idx="0">
                  <c:v>Refinamientos</c:v>
                </c:pt>
              </c:strCache>
            </c:strRef>
          </c:cat>
          <c:val>
            <c:numRef>
              <c:f>refinamientos!$B$7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5E-4A91-9ECB-10B5364CD383}"/>
            </c:ext>
          </c:extLst>
        </c:ser>
        <c:ser>
          <c:idx val="6"/>
          <c:order val="6"/>
          <c:tx>
            <c:strRef>
              <c:f>refinamientos!$A$8</c:f>
              <c:strCache>
                <c:ptCount val="1"/>
                <c:pt idx="0">
                  <c:v>CC-O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refinamientos!$B$1</c:f>
              <c:strCache>
                <c:ptCount val="1"/>
                <c:pt idx="0">
                  <c:v>Refinamientos</c:v>
                </c:pt>
              </c:strCache>
            </c:strRef>
          </c:cat>
          <c:val>
            <c:numRef>
              <c:f>refinamientos!$B$8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5E-4A91-9ECB-10B5364CD383}"/>
            </c:ext>
          </c:extLst>
        </c:ser>
        <c:ser>
          <c:idx val="7"/>
          <c:order val="7"/>
          <c:tx>
            <c:strRef>
              <c:f>refinamientos!$A$9</c:f>
              <c:strCache>
                <c:ptCount val="1"/>
                <c:pt idx="0">
                  <c:v>CI-S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refinamientos!$B$1</c:f>
              <c:strCache>
                <c:ptCount val="1"/>
                <c:pt idx="0">
                  <c:v>Refinamientos</c:v>
                </c:pt>
              </c:strCache>
            </c:strRef>
          </c:cat>
          <c:val>
            <c:numRef>
              <c:f>refinamientos!$B$9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5E-4A91-9ECB-10B5364CD383}"/>
            </c:ext>
          </c:extLst>
        </c:ser>
        <c:ser>
          <c:idx val="8"/>
          <c:order val="8"/>
          <c:tx>
            <c:strRef>
              <c:f>refinamientos!$A$10</c:f>
              <c:strCache>
                <c:ptCount val="1"/>
                <c:pt idx="0">
                  <c:v>CC-HSO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refinamientos!$B$1</c:f>
              <c:strCache>
                <c:ptCount val="1"/>
                <c:pt idx="0">
                  <c:v>Refinamientos</c:v>
                </c:pt>
              </c:strCache>
            </c:strRef>
          </c:cat>
          <c:val>
            <c:numRef>
              <c:f>refinamientos!$B$10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5E-4A91-9ECB-10B5364CD383}"/>
            </c:ext>
          </c:extLst>
        </c:ser>
        <c:ser>
          <c:idx val="9"/>
          <c:order val="9"/>
          <c:tx>
            <c:strRef>
              <c:f>refinamientos!$A$11</c:f>
              <c:strCache>
                <c:ptCount val="1"/>
                <c:pt idx="0">
                  <c:v>CC-SO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refinamientos!$B$1</c:f>
              <c:strCache>
                <c:ptCount val="1"/>
                <c:pt idx="0">
                  <c:v>Refinamientos</c:v>
                </c:pt>
              </c:strCache>
            </c:strRef>
          </c:cat>
          <c:val>
            <c:numRef>
              <c:f>refinamientos!$B$11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85E-4A91-9ECB-10B5364CD3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65828543"/>
        <c:axId val="1365829375"/>
      </c:barChart>
      <c:catAx>
        <c:axId val="136582854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Herramienta-</a:t>
                </a:r>
                <a:r>
                  <a:rPr lang="es-AR" baseline="0"/>
                  <a:t> Modelo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crossAx val="1365829375"/>
        <c:crosses val="autoZero"/>
        <c:auto val="1"/>
        <c:lblAlgn val="ctr"/>
        <c:lblOffset val="100"/>
        <c:noMultiLvlLbl val="0"/>
      </c:catAx>
      <c:valAx>
        <c:axId val="136582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Cantidad</a:t>
                </a:r>
                <a:r>
                  <a:rPr lang="es-AR" baseline="0"/>
                  <a:t> de</a:t>
                </a:r>
                <a:r>
                  <a:rPr lang="es-AR"/>
                  <a:t>  </a:t>
                </a:r>
              </a:p>
              <a:p>
                <a:pPr>
                  <a:defRPr/>
                </a:pPr>
                <a:r>
                  <a:rPr lang="es-AR"/>
                  <a:t>refinamientos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6582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Cant.</a:t>
            </a:r>
            <a:r>
              <a:rPr lang="en-US" baseline="0"/>
              <a:t> de código cada 1000 Tokens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Eficiencia!$B$1</c:f>
              <c:strCache>
                <c:ptCount val="1"/>
                <c:pt idx="0">
                  <c:v>Eficiencia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0,12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F84-4439-9DFE-23258B3768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Eficiencia!$A$2:$A$11</c:f>
              <c:strCache>
                <c:ptCount val="10"/>
                <c:pt idx="0">
                  <c:v>CC-HSO</c:v>
                </c:pt>
                <c:pt idx="1">
                  <c:v>CC-O</c:v>
                </c:pt>
                <c:pt idx="2">
                  <c:v>CC-H </c:v>
                </c:pt>
                <c:pt idx="3">
                  <c:v>CC-SO</c:v>
                </c:pt>
                <c:pt idx="4">
                  <c:v>W-GP</c:v>
                </c:pt>
                <c:pt idx="5">
                  <c:v>W-S</c:v>
                </c:pt>
                <c:pt idx="6">
                  <c:v>W-D</c:v>
                </c:pt>
                <c:pt idx="7">
                  <c:v>W-GE</c:v>
                </c:pt>
                <c:pt idx="8">
                  <c:v>CI-S</c:v>
                </c:pt>
                <c:pt idx="9">
                  <c:v>CC-O</c:v>
                </c:pt>
              </c:strCache>
            </c:strRef>
          </c:cat>
          <c:val>
            <c:numRef>
              <c:f>Eficiencia!$B$2:$B$11</c:f>
              <c:numCache>
                <c:formatCode>0</c:formatCode>
                <c:ptCount val="10"/>
                <c:pt idx="0">
                  <c:v>0.11735291922195014</c:v>
                </c:pt>
                <c:pt idx="1">
                  <c:v>3.2118959107806693</c:v>
                </c:pt>
                <c:pt idx="2">
                  <c:v>7.8550295857988175</c:v>
                </c:pt>
                <c:pt idx="3">
                  <c:v>8.7146666666666661</c:v>
                </c:pt>
                <c:pt idx="4">
                  <c:v>35.768261964735515</c:v>
                </c:pt>
                <c:pt idx="5">
                  <c:v>41.925047182528985</c:v>
                </c:pt>
                <c:pt idx="6">
                  <c:v>47.826086956521742</c:v>
                </c:pt>
                <c:pt idx="7">
                  <c:v>60.714285714285715</c:v>
                </c:pt>
                <c:pt idx="8">
                  <c:v>77.672955974842765</c:v>
                </c:pt>
                <c:pt idx="9">
                  <c:v>135.37906137184115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4-4439-9DFE-23258B3768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2068144"/>
        <c:axId val="1172068976"/>
      </c:barChart>
      <c:catAx>
        <c:axId val="117206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Herramienta</a:t>
                </a:r>
                <a:r>
                  <a:rPr lang="es-AR" baseline="0"/>
                  <a:t>-Modelo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72068976"/>
        <c:crosses val="autoZero"/>
        <c:auto val="1"/>
        <c:lblAlgn val="ctr"/>
        <c:lblOffset val="100"/>
        <c:noMultiLvlLbl val="0"/>
      </c:catAx>
      <c:valAx>
        <c:axId val="11720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Eficiencia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7206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Tamaño de código</a:t>
            </a:r>
            <a:r>
              <a:rPr lang="es-AR" baseline="0"/>
              <a:t> generado por IA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'NLoc Total'!$B$1</c:f>
              <c:strCache>
                <c:ptCount val="1"/>
                <c:pt idx="0">
                  <c:v>Nloc 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EB-4E2F-9CF8-A9EC2317F2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EB-4E2F-9CF8-A9EC2317F2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EB-4E2F-9CF8-A9EC2317F2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EB-4E2F-9CF8-A9EC2317F2C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EEB-4E2F-9CF8-A9EC2317F2C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EB-4E2F-9CF8-A9EC2317F2C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EEB-4E2F-9CF8-A9EC2317F2C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EB-4E2F-9CF8-A9EC2317F2C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EEB-4E2F-9CF8-A9EC2317F2C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EEB-4E2F-9CF8-A9EC2317F2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'NLoc Total'!$A$2:$A$11</c:f>
              <c:strCache>
                <c:ptCount val="10"/>
                <c:pt idx="0">
                  <c:v>W-GE</c:v>
                </c:pt>
                <c:pt idx="1">
                  <c:v>W-GP</c:v>
                </c:pt>
                <c:pt idx="2">
                  <c:v>CI-S</c:v>
                </c:pt>
                <c:pt idx="3">
                  <c:v>CC-O</c:v>
                </c:pt>
                <c:pt idx="4">
                  <c:v>W-S</c:v>
                </c:pt>
                <c:pt idx="5">
                  <c:v>W-D</c:v>
                </c:pt>
                <c:pt idx="6">
                  <c:v>CC-O</c:v>
                </c:pt>
                <c:pt idx="7">
                  <c:v>CC-H </c:v>
                </c:pt>
                <c:pt idx="8">
                  <c:v>CC-HSO</c:v>
                </c:pt>
                <c:pt idx="9">
                  <c:v>CC-SO</c:v>
                </c:pt>
              </c:strCache>
            </c:strRef>
          </c:cat>
          <c:val>
            <c:numRef>
              <c:f>'NLoc Total'!$B$2:$B$11</c:f>
              <c:numCache>
                <c:formatCode>0.0</c:formatCode>
                <c:ptCount val="10"/>
                <c:pt idx="0">
                  <c:v>170</c:v>
                </c:pt>
                <c:pt idx="1">
                  <c:v>213</c:v>
                </c:pt>
                <c:pt idx="2">
                  <c:v>247</c:v>
                </c:pt>
                <c:pt idx="3">
                  <c:v>300</c:v>
                </c:pt>
                <c:pt idx="4">
                  <c:v>311</c:v>
                </c:pt>
                <c:pt idx="5">
                  <c:v>319</c:v>
                </c:pt>
                <c:pt idx="6">
                  <c:v>432</c:v>
                </c:pt>
                <c:pt idx="7">
                  <c:v>531</c:v>
                </c:pt>
                <c:pt idx="8">
                  <c:v>948</c:v>
                </c:pt>
                <c:pt idx="9">
                  <c:v>6536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EEB-4E2F-9CF8-A9EC2317F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578048"/>
        <c:axId val="946578464"/>
      </c:barChart>
      <c:catAx>
        <c:axId val="946578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Herramienta</a:t>
                </a:r>
                <a:r>
                  <a:rPr lang="es-AR" baseline="0"/>
                  <a:t> Modelo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46578464"/>
        <c:crosses val="autoZero"/>
        <c:auto val="1"/>
        <c:lblAlgn val="ctr"/>
        <c:lblOffset val="100"/>
        <c:noMultiLvlLbl val="0"/>
      </c:catAx>
      <c:valAx>
        <c:axId val="94657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Cantidad</a:t>
                </a:r>
                <a:r>
                  <a:rPr lang="es-AR" baseline="0"/>
                  <a:t> de líneas de código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4657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Consumo de tokens por proyecto </a:t>
            </a:r>
          </a:p>
          <a:p>
            <a:pPr>
              <a:defRPr/>
            </a:pPr>
            <a:r>
              <a:rPr lang="es-AR" sz="1400" b="0" i="0" u="none" strike="noStrike" baseline="0"/>
              <a:t>(escala logarítmica)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'Token prompts'!$B$1</c:f>
              <c:strCache>
                <c:ptCount val="1"/>
                <c:pt idx="0">
                  <c:v>Tokens prompt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'Token prompts'!$A$2:$A$11</c:f>
              <c:strCache>
                <c:ptCount val="10"/>
                <c:pt idx="0">
                  <c:v>CC-O</c:v>
                </c:pt>
                <c:pt idx="1">
                  <c:v>W-GE</c:v>
                </c:pt>
                <c:pt idx="2">
                  <c:v>CI-S</c:v>
                </c:pt>
                <c:pt idx="3">
                  <c:v>W-GP</c:v>
                </c:pt>
                <c:pt idx="4">
                  <c:v>W-D</c:v>
                </c:pt>
                <c:pt idx="5">
                  <c:v>W-S</c:v>
                </c:pt>
                <c:pt idx="6">
                  <c:v>CC-H </c:v>
                </c:pt>
                <c:pt idx="7">
                  <c:v>CC-O</c:v>
                </c:pt>
                <c:pt idx="8">
                  <c:v>CC-SO</c:v>
                </c:pt>
                <c:pt idx="9">
                  <c:v>CC-HSO</c:v>
                </c:pt>
              </c:strCache>
            </c:strRef>
          </c:cat>
          <c:val>
            <c:numRef>
              <c:f>'Token prompts'!$B$2:$B$11</c:f>
              <c:numCache>
                <c:formatCode>0</c:formatCode>
                <c:ptCount val="10"/>
                <c:pt idx="0">
                  <c:v>2216</c:v>
                </c:pt>
                <c:pt idx="1">
                  <c:v>2800</c:v>
                </c:pt>
                <c:pt idx="2">
                  <c:v>3180</c:v>
                </c:pt>
                <c:pt idx="3">
                  <c:v>5955</c:v>
                </c:pt>
                <c:pt idx="4">
                  <c:v>6670</c:v>
                </c:pt>
                <c:pt idx="5">
                  <c:v>7418</c:v>
                </c:pt>
                <c:pt idx="6">
                  <c:v>67600</c:v>
                </c:pt>
                <c:pt idx="7">
                  <c:v>134500</c:v>
                </c:pt>
                <c:pt idx="8">
                  <c:v>750000</c:v>
                </c:pt>
                <c:pt idx="9">
                  <c:v>8078197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B-462F-9B86-53CCF09AE8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2385808"/>
        <c:axId val="1122384144"/>
      </c:barChart>
      <c:catAx>
        <c:axId val="1122385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Herramienta-</a:t>
                </a:r>
                <a:r>
                  <a:rPr lang="es-AR" baseline="0"/>
                  <a:t> Modelo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384144"/>
        <c:crosses val="autoZero"/>
        <c:auto val="1"/>
        <c:lblAlgn val="ctr"/>
        <c:lblOffset val="100"/>
        <c:noMultiLvlLbl val="0"/>
      </c:catAx>
      <c:valAx>
        <c:axId val="11223841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Cantidad</a:t>
                </a:r>
                <a:r>
                  <a:rPr lang="es-AR" baseline="0"/>
                  <a:t> de Tokens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38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527050</xdr:colOff>
      <xdr:row>1</xdr:row>
      <xdr:rowOff>0</xdr:rowOff>
    </xdr:from>
    <xdr:to>
      <xdr:col>7</xdr:col>
      <xdr:colOff>165100</xdr:colOff>
      <xdr:row>16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275CB0-E100-4705-A5A2-BCB3DAE56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739775</xdr:colOff>
      <xdr:row>0</xdr:row>
      <xdr:rowOff>161925</xdr:rowOff>
    </xdr:from>
    <xdr:to>
      <xdr:col>13</xdr:col>
      <xdr:colOff>739775</xdr:colOff>
      <xdr:row>15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07568D-8CF4-471A-8E1D-05BB19596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7</xdr:col>
      <xdr:colOff>0</xdr:colOff>
      <xdr:row>34</xdr:row>
      <xdr:rowOff>4763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DEBE79-2FAD-49A7-87A7-2345FB66B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14</xdr:col>
      <xdr:colOff>0</xdr:colOff>
      <xdr:row>34</xdr:row>
      <xdr:rowOff>4763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25B2C2C-2831-4B20-968A-27FE49CD2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7</xdr:col>
      <xdr:colOff>0</xdr:colOff>
      <xdr:row>50</xdr:row>
      <xdr:rowOff>4763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4A92D8-BDC4-4D14-A4DD-5B1BB6EA5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746125</xdr:colOff>
      <xdr:row>35</xdr:row>
      <xdr:rowOff>31749</xdr:rowOff>
    </xdr:from>
    <xdr:to>
      <xdr:col>13</xdr:col>
      <xdr:colOff>746125</xdr:colOff>
      <xdr:row>50</xdr:row>
      <xdr:rowOff>36512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633EEE8-DA39-42BA-95B7-063CBEBC2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opLeftCell="C1" zoomScale="70" zoomScaleNormal="70" workbookViewId="0">
      <selection activeCell="I2" sqref="I2"/>
    </sheetView>
  </sheetViews>
  <sheetFormatPr baseColWidth="10" defaultColWidth="8.7265625" defaultRowHeight="14.5" x14ac:dyDescent="0.35"/>
  <cols>
    <col min="3" max="3" width="12.1796875" customWidth="1"/>
    <col min="4" max="5" width="21.7265625" customWidth="1"/>
    <col min="7" max="8" width="11.1796875" customWidth="1"/>
    <col min="9" max="9" width="12.453125" customWidth="1"/>
    <col min="10" max="10" width="11.54296875" customWidth="1"/>
    <col min="12" max="12" width="15.36328125" customWidth="1"/>
    <col min="13" max="13" width="19.26953125" customWidth="1"/>
    <col min="14" max="14" width="16" bestFit="1" customWidth="1"/>
  </cols>
  <sheetData>
    <row r="1" spans="1:14" x14ac:dyDescent="0.35">
      <c r="A1" s="5" t="s">
        <v>29</v>
      </c>
      <c r="B1" s="2" t="s">
        <v>0</v>
      </c>
      <c r="C1" s="2" t="s">
        <v>17</v>
      </c>
      <c r="D1" s="2" t="s">
        <v>1</v>
      </c>
      <c r="E1" s="2" t="s">
        <v>18</v>
      </c>
      <c r="F1" s="2" t="s">
        <v>2</v>
      </c>
      <c r="G1" s="2" t="s">
        <v>3</v>
      </c>
      <c r="H1" s="2" t="s">
        <v>39</v>
      </c>
      <c r="I1" s="2" t="s">
        <v>40</v>
      </c>
      <c r="J1" s="2" t="s">
        <v>4</v>
      </c>
      <c r="K1" s="2" t="s">
        <v>5</v>
      </c>
      <c r="L1" s="2" t="s">
        <v>6</v>
      </c>
      <c r="M1" s="2" t="s">
        <v>28</v>
      </c>
      <c r="N1" s="2" t="s">
        <v>41</v>
      </c>
    </row>
    <row r="2" spans="1:14" x14ac:dyDescent="0.35">
      <c r="A2" s="6" t="s">
        <v>30</v>
      </c>
      <c r="B2" s="4" t="s">
        <v>7</v>
      </c>
      <c r="C2" s="1" t="s">
        <v>16</v>
      </c>
      <c r="D2" s="1" t="s">
        <v>8</v>
      </c>
      <c r="E2" s="1" t="s">
        <v>19</v>
      </c>
      <c r="F2" s="3">
        <v>1.45</v>
      </c>
      <c r="G2" s="3">
        <v>50.4</v>
      </c>
      <c r="H2" s="3">
        <v>247</v>
      </c>
      <c r="I2" s="3">
        <v>6.17</v>
      </c>
      <c r="J2" s="3">
        <v>13.16</v>
      </c>
      <c r="K2" s="3">
        <v>2</v>
      </c>
      <c r="L2" s="1">
        <v>3</v>
      </c>
      <c r="M2" s="1">
        <v>3180</v>
      </c>
      <c r="N2" s="7">
        <f>H2/(M2/1000)</f>
        <v>77.672955974842765</v>
      </c>
    </row>
    <row r="3" spans="1:14" x14ac:dyDescent="0.35">
      <c r="A3" s="6" t="s">
        <v>31</v>
      </c>
      <c r="B3" s="4" t="s">
        <v>9</v>
      </c>
      <c r="C3" s="1" t="s">
        <v>22</v>
      </c>
      <c r="D3" s="1" t="s">
        <v>10</v>
      </c>
      <c r="E3" s="1" t="s">
        <v>21</v>
      </c>
      <c r="F3" s="3">
        <v>2.74</v>
      </c>
      <c r="G3" s="3">
        <v>42.6</v>
      </c>
      <c r="H3" s="3">
        <v>948</v>
      </c>
      <c r="I3" s="3">
        <v>13.94</v>
      </c>
      <c r="J3" s="3">
        <v>129.06</v>
      </c>
      <c r="K3" s="3">
        <v>39</v>
      </c>
      <c r="L3" s="3">
        <v>9</v>
      </c>
      <c r="M3" s="1">
        <v>8078197</v>
      </c>
      <c r="N3" s="8">
        <f t="shared" ref="N3:N11" si="0">H3/(M3/1000)</f>
        <v>0.11735291922195014</v>
      </c>
    </row>
    <row r="4" spans="1:14" x14ac:dyDescent="0.35">
      <c r="A4" s="6" t="s">
        <v>32</v>
      </c>
      <c r="B4" s="4" t="s">
        <v>11</v>
      </c>
      <c r="C4" s="1" t="s">
        <v>22</v>
      </c>
      <c r="D4" s="1" t="s">
        <v>12</v>
      </c>
      <c r="E4" s="1" t="s">
        <v>19</v>
      </c>
      <c r="F4" s="3">
        <v>2.1800000000000002</v>
      </c>
      <c r="G4" s="3">
        <v>47.2</v>
      </c>
      <c r="H4" s="3">
        <v>531</v>
      </c>
      <c r="I4" s="3">
        <v>10.41</v>
      </c>
      <c r="J4" s="3">
        <v>59.77</v>
      </c>
      <c r="K4" s="3">
        <v>22</v>
      </c>
      <c r="L4" s="1">
        <v>2</v>
      </c>
      <c r="M4" s="1">
        <v>67600</v>
      </c>
      <c r="N4" s="7">
        <f t="shared" si="0"/>
        <v>7.8550295857988175</v>
      </c>
    </row>
    <row r="5" spans="1:14" x14ac:dyDescent="0.35">
      <c r="A5" s="6" t="s">
        <v>33</v>
      </c>
      <c r="B5" s="4" t="s">
        <v>11</v>
      </c>
      <c r="C5" s="1" t="s">
        <v>22</v>
      </c>
      <c r="D5" s="1" t="s">
        <v>20</v>
      </c>
      <c r="E5" s="1" t="s">
        <v>19</v>
      </c>
      <c r="F5" s="3">
        <v>2.84</v>
      </c>
      <c r="G5" s="3">
        <v>51.5</v>
      </c>
      <c r="H5" s="3">
        <v>432</v>
      </c>
      <c r="I5" s="3">
        <v>11.68</v>
      </c>
      <c r="J5" s="3">
        <v>54.49</v>
      </c>
      <c r="K5" s="3">
        <v>7</v>
      </c>
      <c r="L5" s="1">
        <v>2</v>
      </c>
      <c r="M5" s="1">
        <v>134500</v>
      </c>
      <c r="N5" s="7">
        <f t="shared" si="0"/>
        <v>3.2118959107806693</v>
      </c>
    </row>
    <row r="6" spans="1:14" x14ac:dyDescent="0.35">
      <c r="A6" s="6" t="s">
        <v>36</v>
      </c>
      <c r="B6" s="4" t="s">
        <v>13</v>
      </c>
      <c r="C6" s="1" t="s">
        <v>23</v>
      </c>
      <c r="D6" s="1" t="s">
        <v>24</v>
      </c>
      <c r="E6" s="1" t="s">
        <v>21</v>
      </c>
      <c r="F6" s="3">
        <v>2.6</v>
      </c>
      <c r="G6" s="3">
        <v>29.2</v>
      </c>
      <c r="H6" s="3">
        <v>170</v>
      </c>
      <c r="I6" s="3">
        <v>11.33</v>
      </c>
      <c r="J6" s="3">
        <v>228.26</v>
      </c>
      <c r="K6" s="3">
        <v>0</v>
      </c>
      <c r="L6" s="1">
        <v>0</v>
      </c>
      <c r="M6" s="1">
        <v>2800</v>
      </c>
      <c r="N6" s="7">
        <f t="shared" si="0"/>
        <v>60.714285714285715</v>
      </c>
    </row>
    <row r="7" spans="1:14" x14ac:dyDescent="0.35">
      <c r="A7" s="6" t="s">
        <v>34</v>
      </c>
      <c r="B7" s="4" t="s">
        <v>13</v>
      </c>
      <c r="C7" s="1" t="s">
        <v>23</v>
      </c>
      <c r="D7" s="1" t="s">
        <v>8</v>
      </c>
      <c r="E7" s="1" t="s">
        <v>21</v>
      </c>
      <c r="F7" s="3">
        <v>2.3199999999999998</v>
      </c>
      <c r="G7" s="3">
        <v>22.1</v>
      </c>
      <c r="H7" s="3">
        <v>311</v>
      </c>
      <c r="I7" s="3">
        <v>12.44</v>
      </c>
      <c r="J7" s="3">
        <v>109.13</v>
      </c>
      <c r="K7" s="3">
        <v>0</v>
      </c>
      <c r="L7" s="1">
        <v>1</v>
      </c>
      <c r="M7" s="1">
        <v>7418</v>
      </c>
      <c r="N7" s="7">
        <f t="shared" si="0"/>
        <v>41.925047182528985</v>
      </c>
    </row>
    <row r="8" spans="1:14" x14ac:dyDescent="0.35">
      <c r="A8" s="6" t="s">
        <v>35</v>
      </c>
      <c r="B8" s="4" t="s">
        <v>13</v>
      </c>
      <c r="C8" s="1" t="s">
        <v>23</v>
      </c>
      <c r="D8" s="1" t="s">
        <v>25</v>
      </c>
      <c r="E8" s="1" t="s">
        <v>21</v>
      </c>
      <c r="F8" s="3">
        <v>3.4</v>
      </c>
      <c r="G8" s="3">
        <v>26</v>
      </c>
      <c r="H8" s="3">
        <v>213</v>
      </c>
      <c r="I8" s="3">
        <v>14.2</v>
      </c>
      <c r="J8" s="3">
        <v>174.34</v>
      </c>
      <c r="K8" s="3">
        <v>0</v>
      </c>
      <c r="L8" s="1">
        <v>0</v>
      </c>
      <c r="M8" s="1">
        <v>5955</v>
      </c>
      <c r="N8" s="7">
        <f t="shared" si="0"/>
        <v>35.768261964735515</v>
      </c>
    </row>
    <row r="9" spans="1:14" x14ac:dyDescent="0.35">
      <c r="A9" s="6" t="s">
        <v>37</v>
      </c>
      <c r="B9" s="4" t="s">
        <v>13</v>
      </c>
      <c r="C9" s="1" t="s">
        <v>23</v>
      </c>
      <c r="D9" s="1" t="s">
        <v>26</v>
      </c>
      <c r="E9" s="1" t="s">
        <v>21</v>
      </c>
      <c r="F9" s="3">
        <v>3.29</v>
      </c>
      <c r="G9" s="3">
        <v>21.9</v>
      </c>
      <c r="H9" s="3">
        <v>319</v>
      </c>
      <c r="I9" s="3">
        <v>18.760000000000002</v>
      </c>
      <c r="J9" s="3">
        <v>115.68</v>
      </c>
      <c r="K9" s="3">
        <v>0</v>
      </c>
      <c r="L9" s="1">
        <v>0</v>
      </c>
      <c r="M9" s="1">
        <v>6670</v>
      </c>
      <c r="N9" s="7">
        <f t="shared" si="0"/>
        <v>47.826086956521742</v>
      </c>
    </row>
    <row r="10" spans="1:14" x14ac:dyDescent="0.35">
      <c r="A10" s="6" t="s">
        <v>38</v>
      </c>
      <c r="B10" s="4" t="s">
        <v>14</v>
      </c>
      <c r="C10" s="1" t="s">
        <v>22</v>
      </c>
      <c r="D10" s="1" t="s">
        <v>27</v>
      </c>
      <c r="E10" s="1" t="s">
        <v>19</v>
      </c>
      <c r="F10" s="3">
        <v>2.25</v>
      </c>
      <c r="G10" s="3">
        <v>41.7</v>
      </c>
      <c r="H10" s="3">
        <v>6536</v>
      </c>
      <c r="I10" s="3">
        <v>7.16</v>
      </c>
      <c r="J10" s="3">
        <v>22.41</v>
      </c>
      <c r="K10" s="3">
        <v>2</v>
      </c>
      <c r="L10">
        <v>80</v>
      </c>
      <c r="M10">
        <v>750000</v>
      </c>
      <c r="N10" s="7">
        <f t="shared" si="0"/>
        <v>8.7146666666666661</v>
      </c>
    </row>
    <row r="11" spans="1:14" x14ac:dyDescent="0.35">
      <c r="A11" s="6" t="s">
        <v>33</v>
      </c>
      <c r="B11" s="4" t="s">
        <v>15</v>
      </c>
      <c r="C11" s="1" t="s">
        <v>22</v>
      </c>
      <c r="D11" s="1" t="s">
        <v>20</v>
      </c>
      <c r="E11" s="1" t="s">
        <v>21</v>
      </c>
      <c r="F11" s="3">
        <v>1.7</v>
      </c>
      <c r="G11" s="3">
        <v>52.8</v>
      </c>
      <c r="H11" s="3">
        <v>300</v>
      </c>
      <c r="I11" s="3">
        <v>6.52</v>
      </c>
      <c r="J11" s="3">
        <v>10.6</v>
      </c>
      <c r="K11" s="3">
        <v>2</v>
      </c>
      <c r="L11">
        <v>0</v>
      </c>
      <c r="M11">
        <v>2216</v>
      </c>
      <c r="N11" s="7">
        <f t="shared" si="0"/>
        <v>135.37906137184115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0289-9280-4733-B1AD-01F3F3BE623D}">
  <dimension ref="A1"/>
  <sheetViews>
    <sheetView tabSelected="1" topLeftCell="A20" zoomScale="80" zoomScaleNormal="80" workbookViewId="0">
      <selection activeCell="O35" sqref="O35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C2A7-1B1C-472C-B539-92D46118AECF}">
  <dimension ref="A1:B11"/>
  <sheetViews>
    <sheetView workbookViewId="0">
      <selection activeCell="E11" sqref="E11"/>
    </sheetView>
  </sheetViews>
  <sheetFormatPr baseColWidth="10" defaultRowHeight="14.5" x14ac:dyDescent="0.35"/>
  <cols>
    <col min="1" max="1" width="19.26953125" bestFit="1" customWidth="1"/>
    <col min="2" max="2" width="17.26953125" customWidth="1"/>
  </cols>
  <sheetData>
    <row r="1" spans="1:2" ht="29" x14ac:dyDescent="0.35">
      <c r="A1" s="5" t="s">
        <v>17</v>
      </c>
      <c r="B1" s="2" t="s">
        <v>6</v>
      </c>
    </row>
    <row r="2" spans="1:2" x14ac:dyDescent="0.35">
      <c r="A2" s="6" t="str">
        <f>'Resultado generales'!A6</f>
        <v>W-GE</v>
      </c>
      <c r="B2">
        <f>'Resultado generales'!L6</f>
        <v>0</v>
      </c>
    </row>
    <row r="3" spans="1:2" x14ac:dyDescent="0.35">
      <c r="A3" s="6" t="str">
        <f>'Resultado generales'!A8</f>
        <v>W-GP</v>
      </c>
      <c r="B3">
        <f>'Resultado generales'!L8</f>
        <v>0</v>
      </c>
    </row>
    <row r="4" spans="1:2" x14ac:dyDescent="0.35">
      <c r="A4" s="6" t="str">
        <f>'Resultado generales'!A9</f>
        <v>W-D</v>
      </c>
      <c r="B4">
        <f>'Resultado generales'!L9</f>
        <v>0</v>
      </c>
    </row>
    <row r="5" spans="1:2" x14ac:dyDescent="0.35">
      <c r="A5" s="6" t="str">
        <f>'Resultado generales'!A11</f>
        <v>CC-O</v>
      </c>
      <c r="B5">
        <f>'Resultado generales'!L11</f>
        <v>0</v>
      </c>
    </row>
    <row r="6" spans="1:2" x14ac:dyDescent="0.35">
      <c r="A6" s="6" t="str">
        <f>'Resultado generales'!A7</f>
        <v>W-S</v>
      </c>
      <c r="B6">
        <f>'Resultado generales'!L7</f>
        <v>1</v>
      </c>
    </row>
    <row r="7" spans="1:2" x14ac:dyDescent="0.35">
      <c r="A7" s="6" t="str">
        <f>'Resultado generales'!A4</f>
        <v xml:space="preserve">CC-H </v>
      </c>
      <c r="B7">
        <f>'Resultado generales'!L4</f>
        <v>2</v>
      </c>
    </row>
    <row r="8" spans="1:2" x14ac:dyDescent="0.35">
      <c r="A8" s="6" t="str">
        <f>'Resultado generales'!A5</f>
        <v>CC-O</v>
      </c>
      <c r="B8">
        <f>'Resultado generales'!L5</f>
        <v>2</v>
      </c>
    </row>
    <row r="9" spans="1:2" x14ac:dyDescent="0.35">
      <c r="A9" s="6" t="str">
        <f>'Resultado generales'!A2</f>
        <v>CI-S</v>
      </c>
      <c r="B9">
        <f>'Resultado generales'!L2</f>
        <v>3</v>
      </c>
    </row>
    <row r="10" spans="1:2" x14ac:dyDescent="0.35">
      <c r="A10" s="6" t="str">
        <f>'Resultado generales'!A3</f>
        <v>CC-HSO</v>
      </c>
      <c r="B10">
        <f>'Resultado generales'!L3</f>
        <v>9</v>
      </c>
    </row>
    <row r="11" spans="1:2" x14ac:dyDescent="0.35">
      <c r="A11" s="6" t="str">
        <f>'Resultado generales'!A10</f>
        <v>CC-SO</v>
      </c>
      <c r="B11">
        <f>'Resultado generales'!L10</f>
        <v>80</v>
      </c>
    </row>
  </sheetData>
  <sortState xmlns:xlrd2="http://schemas.microsoft.com/office/spreadsheetml/2017/richdata2" ref="A2:B11">
    <sortCondition ref="B1:B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5E4F-5D37-4E31-8531-1506D9D61F2B}">
  <dimension ref="A1:B11"/>
  <sheetViews>
    <sheetView workbookViewId="0">
      <selection activeCell="B2" sqref="B2"/>
    </sheetView>
  </sheetViews>
  <sheetFormatPr baseColWidth="10" defaultRowHeight="14.5" x14ac:dyDescent="0.35"/>
  <cols>
    <col min="1" max="1" width="19.26953125" bestFit="1" customWidth="1"/>
  </cols>
  <sheetData>
    <row r="1" spans="1:2" x14ac:dyDescent="0.35">
      <c r="A1" s="5" t="s">
        <v>17</v>
      </c>
      <c r="B1" s="2" t="s">
        <v>41</v>
      </c>
    </row>
    <row r="2" spans="1:2" x14ac:dyDescent="0.35">
      <c r="A2" s="6" t="str">
        <f>'Resultado generales'!A3</f>
        <v>CC-HSO</v>
      </c>
      <c r="B2" s="11">
        <f>'Resultado generales'!N3</f>
        <v>0.11735291922195014</v>
      </c>
    </row>
    <row r="3" spans="1:2" x14ac:dyDescent="0.35">
      <c r="A3" s="6" t="str">
        <f>'Resultado generales'!A5</f>
        <v>CC-O</v>
      </c>
      <c r="B3" s="9">
        <f>'Resultado generales'!N5</f>
        <v>3.2118959107806693</v>
      </c>
    </row>
    <row r="4" spans="1:2" x14ac:dyDescent="0.35">
      <c r="A4" s="6" t="str">
        <f>'Resultado generales'!A4</f>
        <v xml:space="preserve">CC-H </v>
      </c>
      <c r="B4" s="9">
        <f>'Resultado generales'!N4</f>
        <v>7.8550295857988175</v>
      </c>
    </row>
    <row r="5" spans="1:2" x14ac:dyDescent="0.35">
      <c r="A5" s="6" t="str">
        <f>'Resultado generales'!A10</f>
        <v>CC-SO</v>
      </c>
      <c r="B5" s="9">
        <f>'Resultado generales'!N10</f>
        <v>8.7146666666666661</v>
      </c>
    </row>
    <row r="6" spans="1:2" x14ac:dyDescent="0.35">
      <c r="A6" s="6" t="str">
        <f>'Resultado generales'!A8</f>
        <v>W-GP</v>
      </c>
      <c r="B6" s="9">
        <f>'Resultado generales'!N8</f>
        <v>35.768261964735515</v>
      </c>
    </row>
    <row r="7" spans="1:2" x14ac:dyDescent="0.35">
      <c r="A7" s="6" t="str">
        <f>'Resultado generales'!A7</f>
        <v>W-S</v>
      </c>
      <c r="B7" s="9">
        <f>'Resultado generales'!N7</f>
        <v>41.925047182528985</v>
      </c>
    </row>
    <row r="8" spans="1:2" x14ac:dyDescent="0.35">
      <c r="A8" s="6" t="str">
        <f>'Resultado generales'!A9</f>
        <v>W-D</v>
      </c>
      <c r="B8" s="9">
        <f>'Resultado generales'!N9</f>
        <v>47.826086956521742</v>
      </c>
    </row>
    <row r="9" spans="1:2" x14ac:dyDescent="0.35">
      <c r="A9" s="6" t="str">
        <f>'Resultado generales'!A6</f>
        <v>W-GE</v>
      </c>
      <c r="B9" s="9">
        <f>'Resultado generales'!N6</f>
        <v>60.714285714285715</v>
      </c>
    </row>
    <row r="10" spans="1:2" x14ac:dyDescent="0.35">
      <c r="A10" s="6" t="str">
        <f>'Resultado generales'!A2</f>
        <v>CI-S</v>
      </c>
      <c r="B10" s="9">
        <f>'Resultado generales'!N2</f>
        <v>77.672955974842765</v>
      </c>
    </row>
    <row r="11" spans="1:2" x14ac:dyDescent="0.35">
      <c r="A11" s="6" t="str">
        <f>'Resultado generales'!A11</f>
        <v>CC-O</v>
      </c>
      <c r="B11" s="9">
        <f>'Resultado generales'!N11</f>
        <v>135.37906137184115</v>
      </c>
    </row>
  </sheetData>
  <sortState xmlns:xlrd2="http://schemas.microsoft.com/office/spreadsheetml/2017/richdata2" ref="A2:B11">
    <sortCondition ref="B1:B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9D39-AF82-4079-9611-674EC98AC6ED}">
  <dimension ref="A1:B11"/>
  <sheetViews>
    <sheetView workbookViewId="0">
      <selection activeCell="D10" sqref="D10"/>
    </sheetView>
  </sheetViews>
  <sheetFormatPr baseColWidth="10" defaultRowHeight="14.5" x14ac:dyDescent="0.35"/>
  <cols>
    <col min="1" max="1" width="19.26953125" bestFit="1" customWidth="1"/>
  </cols>
  <sheetData>
    <row r="1" spans="1:2" x14ac:dyDescent="0.35">
      <c r="A1" s="5" t="s">
        <v>17</v>
      </c>
      <c r="B1" s="2" t="s">
        <v>42</v>
      </c>
    </row>
    <row r="2" spans="1:2" x14ac:dyDescent="0.35">
      <c r="A2" s="6" t="str">
        <f>'Resultado generales'!A6</f>
        <v>W-GE</v>
      </c>
      <c r="B2" s="10">
        <f>'Resultado generales'!H6</f>
        <v>170</v>
      </c>
    </row>
    <row r="3" spans="1:2" x14ac:dyDescent="0.35">
      <c r="A3" s="6" t="str">
        <f>'Resultado generales'!A8</f>
        <v>W-GP</v>
      </c>
      <c r="B3" s="10">
        <f>'Resultado generales'!H8</f>
        <v>213</v>
      </c>
    </row>
    <row r="4" spans="1:2" x14ac:dyDescent="0.35">
      <c r="A4" s="6" t="str">
        <f>'Resultado generales'!A2</f>
        <v>CI-S</v>
      </c>
      <c r="B4" s="10">
        <f>'Resultado generales'!H2</f>
        <v>247</v>
      </c>
    </row>
    <row r="5" spans="1:2" x14ac:dyDescent="0.35">
      <c r="A5" s="6" t="str">
        <f>'Resultado generales'!A11</f>
        <v>CC-O</v>
      </c>
      <c r="B5" s="10">
        <f>'Resultado generales'!H11</f>
        <v>300</v>
      </c>
    </row>
    <row r="6" spans="1:2" x14ac:dyDescent="0.35">
      <c r="A6" s="6" t="str">
        <f>'Resultado generales'!A7</f>
        <v>W-S</v>
      </c>
      <c r="B6" s="10">
        <f>'Resultado generales'!H7</f>
        <v>311</v>
      </c>
    </row>
    <row r="7" spans="1:2" x14ac:dyDescent="0.35">
      <c r="A7" s="6" t="str">
        <f>'Resultado generales'!A9</f>
        <v>W-D</v>
      </c>
      <c r="B7" s="10">
        <f>'Resultado generales'!H9</f>
        <v>319</v>
      </c>
    </row>
    <row r="8" spans="1:2" x14ac:dyDescent="0.35">
      <c r="A8" s="6" t="str">
        <f>'Resultado generales'!A5</f>
        <v>CC-O</v>
      </c>
      <c r="B8" s="10">
        <f>'Resultado generales'!H5</f>
        <v>432</v>
      </c>
    </row>
    <row r="9" spans="1:2" x14ac:dyDescent="0.35">
      <c r="A9" s="6" t="str">
        <f>'Resultado generales'!A4</f>
        <v xml:space="preserve">CC-H </v>
      </c>
      <c r="B9" s="10">
        <f>'Resultado generales'!H4</f>
        <v>531</v>
      </c>
    </row>
    <row r="10" spans="1:2" x14ac:dyDescent="0.35">
      <c r="A10" s="6" t="str">
        <f>'Resultado generales'!A3</f>
        <v>CC-HSO</v>
      </c>
      <c r="B10" s="10">
        <f>'Resultado generales'!H3</f>
        <v>948</v>
      </c>
    </row>
    <row r="11" spans="1:2" x14ac:dyDescent="0.35">
      <c r="A11" s="6" t="str">
        <f>'Resultado generales'!A10</f>
        <v>CC-SO</v>
      </c>
      <c r="B11" s="10">
        <f>'Resultado generales'!H10</f>
        <v>6536</v>
      </c>
    </row>
  </sheetData>
  <sortState xmlns:xlrd2="http://schemas.microsoft.com/office/spreadsheetml/2017/richdata2" ref="A2:B11">
    <sortCondition ref="B1:B1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57E5-5BA8-4E3C-ADE8-1091420D8028}">
  <dimension ref="A1:B11"/>
  <sheetViews>
    <sheetView workbookViewId="0">
      <selection activeCell="J16" sqref="J16"/>
    </sheetView>
  </sheetViews>
  <sheetFormatPr baseColWidth="10" defaultRowHeight="14.5" x14ac:dyDescent="0.35"/>
  <sheetData>
    <row r="1" spans="1:2" x14ac:dyDescent="0.35">
      <c r="A1" s="5" t="s">
        <v>17</v>
      </c>
      <c r="B1" s="2" t="str">
        <f>'Resultado generales'!M1</f>
        <v>Tokens prompt</v>
      </c>
    </row>
    <row r="2" spans="1:2" x14ac:dyDescent="0.35">
      <c r="A2" s="6" t="s">
        <v>33</v>
      </c>
      <c r="B2" s="9">
        <f>'Resultado generales'!M11</f>
        <v>2216</v>
      </c>
    </row>
    <row r="3" spans="1:2" x14ac:dyDescent="0.35">
      <c r="A3" s="6" t="s">
        <v>36</v>
      </c>
      <c r="B3" s="9">
        <f>'Resultado generales'!M6</f>
        <v>2800</v>
      </c>
    </row>
    <row r="4" spans="1:2" x14ac:dyDescent="0.35">
      <c r="A4" s="6" t="s">
        <v>30</v>
      </c>
      <c r="B4" s="9">
        <f>'Resultado generales'!M2</f>
        <v>3180</v>
      </c>
    </row>
    <row r="5" spans="1:2" x14ac:dyDescent="0.35">
      <c r="A5" s="6" t="s">
        <v>35</v>
      </c>
      <c r="B5" s="9">
        <f>'Resultado generales'!M8</f>
        <v>5955</v>
      </c>
    </row>
    <row r="6" spans="1:2" x14ac:dyDescent="0.35">
      <c r="A6" s="6" t="s">
        <v>37</v>
      </c>
      <c r="B6" s="9">
        <f>'Resultado generales'!M9</f>
        <v>6670</v>
      </c>
    </row>
    <row r="7" spans="1:2" x14ac:dyDescent="0.35">
      <c r="A7" s="6" t="s">
        <v>34</v>
      </c>
      <c r="B7" s="9">
        <f>'Resultado generales'!M7</f>
        <v>7418</v>
      </c>
    </row>
    <row r="8" spans="1:2" x14ac:dyDescent="0.35">
      <c r="A8" s="6" t="s">
        <v>32</v>
      </c>
      <c r="B8" s="9">
        <f>'Resultado generales'!M4</f>
        <v>67600</v>
      </c>
    </row>
    <row r="9" spans="1:2" x14ac:dyDescent="0.35">
      <c r="A9" s="6" t="s">
        <v>33</v>
      </c>
      <c r="B9" s="9">
        <f>'Resultado generales'!M5</f>
        <v>134500</v>
      </c>
    </row>
    <row r="10" spans="1:2" x14ac:dyDescent="0.35">
      <c r="A10" s="6" t="s">
        <v>38</v>
      </c>
      <c r="B10" s="9">
        <f>'Resultado generales'!M10</f>
        <v>750000</v>
      </c>
    </row>
    <row r="11" spans="1:2" x14ac:dyDescent="0.35">
      <c r="A11" s="6" t="s">
        <v>31</v>
      </c>
      <c r="B11" s="9">
        <f>'Resultado generales'!M3</f>
        <v>8078197</v>
      </c>
    </row>
  </sheetData>
  <sortState xmlns:xlrd2="http://schemas.microsoft.com/office/spreadsheetml/2017/richdata2" ref="A2:B11">
    <sortCondition ref="B1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Resultado generales</vt:lpstr>
      <vt:lpstr>Analisis de resultados</vt:lpstr>
      <vt:lpstr>refinamientos</vt:lpstr>
      <vt:lpstr>Eficiencia</vt:lpstr>
      <vt:lpstr>NLoc Total</vt:lpstr>
      <vt:lpstr>Token 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2026-06-12T19:01:17Z</dcterms:modified>
</cp:coreProperties>
</file>