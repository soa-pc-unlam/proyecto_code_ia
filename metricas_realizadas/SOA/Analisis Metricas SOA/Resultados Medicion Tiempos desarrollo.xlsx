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royecto_code_ia\metricas_realizadas\SOA\Analisis Metricas SOA\"/>
    </mc:Choice>
  </mc:AlternateContent>
  <xr:revisionPtr revIDLastSave="0" documentId="13_ncr:1_{5F0AD829-432E-4F26-B46F-85210C215A75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Tiempos ESP32" sheetId="1" r:id="rId1"/>
    <sheet name="Tiempos Android" sheetId="2" r:id="rId2"/>
    <sheet name="Analisis de tiempos ESP32" sheetId="4" r:id="rId3"/>
    <sheet name="Analisis tiempo Android" sheetId="5" r:id="rId4"/>
  </sheets>
  <definedNames>
    <definedName name="_xlchart.v1.0" hidden="1">'Tiempos ESP32'!$J$27</definedName>
    <definedName name="_xlchart.v1.1" hidden="1">'Tiempos ESP32'!$A$24</definedName>
    <definedName name="_xlchart.v1.2" hidden="1">'Tiempos ESP32'!$A$24:$A$30</definedName>
    <definedName name="_xlchart.v1.3" hidden="1">'Tiempos ESP32'!$A$25:$A$30</definedName>
    <definedName name="_xlchart.v1.4" hidden="1">'Tiempos ESP32'!$D$24:$D$30</definedName>
    <definedName name="_xlchart.v1.5" hidden="1">'Tiempos ESP32'!$D$25:$D$30</definedName>
    <definedName name="_xlchart.v1.6" hidden="1">'Tiempos ESP32'!$J$27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5" l="1"/>
  <c r="C39" i="1"/>
  <c r="C38" i="1"/>
  <c r="C37" i="1"/>
  <c r="C36" i="1"/>
  <c r="C35" i="1"/>
  <c r="C34" i="1"/>
  <c r="C43" i="1"/>
  <c r="C42" i="1"/>
  <c r="C41" i="1"/>
  <c r="B39" i="1"/>
  <c r="B38" i="1"/>
  <c r="B37" i="1"/>
  <c r="B36" i="1"/>
  <c r="B35" i="1"/>
  <c r="B34" i="1"/>
  <c r="D30" i="1"/>
  <c r="D29" i="1"/>
  <c r="D28" i="1"/>
  <c r="D27" i="1"/>
  <c r="D26" i="1"/>
  <c r="D25" i="1"/>
  <c r="C30" i="1"/>
  <c r="C29" i="1"/>
  <c r="C28" i="1"/>
  <c r="C27" i="1"/>
  <c r="C26" i="1"/>
  <c r="C25" i="1"/>
  <c r="B30" i="1"/>
  <c r="B29" i="1"/>
  <c r="B28" i="1"/>
  <c r="B27" i="1"/>
  <c r="B26" i="1"/>
  <c r="B25" i="1"/>
  <c r="B21" i="1"/>
  <c r="M7" i="2"/>
  <c r="M8" i="2"/>
  <c r="M2" i="2"/>
  <c r="M3" i="2"/>
  <c r="M4" i="2"/>
  <c r="M5" i="2"/>
  <c r="M6" i="2"/>
  <c r="M3" i="1"/>
  <c r="M4" i="1"/>
  <c r="M5" i="1"/>
  <c r="M6" i="1"/>
  <c r="M7" i="1"/>
  <c r="M8" i="1"/>
  <c r="M9" i="1" l="1"/>
  <c r="O4" i="4" s="1"/>
  <c r="M9" i="2"/>
</calcChain>
</file>

<file path=xl/sharedStrings.xml><?xml version="1.0" encoding="utf-8"?>
<sst xmlns="http://schemas.openxmlformats.org/spreadsheetml/2006/main" count="162" uniqueCount="40">
  <si>
    <t>Grupo</t>
  </si>
  <si>
    <t>22/09</t>
  </si>
  <si>
    <t>29/09</t>
  </si>
  <si>
    <t>06/10</t>
  </si>
  <si>
    <t>13/10</t>
  </si>
  <si>
    <t>20/10</t>
  </si>
  <si>
    <t>27/10</t>
  </si>
  <si>
    <t>03/11</t>
  </si>
  <si>
    <t>10/11</t>
  </si>
  <si>
    <t>17/11</t>
  </si>
  <si>
    <t>24/11</t>
  </si>
  <si>
    <t>01/12</t>
  </si>
  <si>
    <t>L1</t>
  </si>
  <si>
    <t>L2</t>
  </si>
  <si>
    <t>M1</t>
  </si>
  <si>
    <t>M2</t>
  </si>
  <si>
    <t>----</t>
  </si>
  <si>
    <t>M4</t>
  </si>
  <si>
    <t>M5</t>
  </si>
  <si>
    <t>Tiempo Total Manual</t>
  </si>
  <si>
    <t>Tiempo Total Manual(horas)</t>
  </si>
  <si>
    <t>Tiempo Promedio (horas)</t>
  </si>
  <si>
    <t>Tiempo Promedio 
(horas)</t>
  </si>
  <si>
    <t>Promedio Manual</t>
  </si>
  <si>
    <t>ESP32</t>
  </si>
  <si>
    <t>Android</t>
  </si>
  <si>
    <t>Tiempo(horas)</t>
  </si>
  <si>
    <t>HORAS DE DESARROLLO MANUAL EN ESP32</t>
  </si>
  <si>
    <t>Tiempo IA</t>
  </si>
  <si>
    <t>más horas en su adaptación en el físico</t>
  </si>
  <si>
    <t>Columna1</t>
  </si>
  <si>
    <t>HORAS DE DESARROLLO IA  EN ESP32</t>
  </si>
  <si>
    <t>DATOS ESTADISTICOS</t>
  </si>
  <si>
    <t>Manual</t>
  </si>
  <si>
    <t>IA</t>
  </si>
  <si>
    <t>Speedup</t>
  </si>
  <si>
    <t>Reducción</t>
  </si>
  <si>
    <t>PORCENTAJE DE REDUCCION DE TIEMPO</t>
  </si>
  <si>
    <t>Promedio IA</t>
  </si>
  <si>
    <t>Speedup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</si>
</sst>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434343"/>
      <name val="Roboto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56854"/>
        <bgColor rgb="FF35685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56854"/>
      </left>
      <right/>
      <top style="thin">
        <color rgb="FF356854"/>
      </top>
      <bottom/>
      <diagonal/>
    </border>
    <border>
      <left style="thin">
        <color rgb="FF35685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horizontal="right" vertical="center"/>
    </xf>
    <xf numFmtId="0" fontId="3" fillId="2" borderId="1" xfId="0" quotePrefix="1" applyFont="1" applyFill="1" applyBorder="1" applyAlignment="1">
      <alignment horizontal="right" vertical="center"/>
    </xf>
    <xf numFmtId="0" fontId="0" fillId="3" borderId="0" xfId="0" applyFill="1"/>
    <xf numFmtId="0" fontId="0" fillId="3" borderId="0" xfId="0" applyNumberFormat="1" applyFill="1"/>
    <xf numFmtId="0" fontId="0" fillId="4" borderId="0" xfId="0" applyFill="1"/>
    <xf numFmtId="0" fontId="1" fillId="4" borderId="0" xfId="0" applyFont="1" applyFill="1"/>
    <xf numFmtId="2" fontId="1" fillId="4" borderId="0" xfId="0" applyNumberFormat="1" applyFont="1" applyFill="1"/>
    <xf numFmtId="2" fontId="0" fillId="4" borderId="0" xfId="0" applyNumberFormat="1" applyFont="1" applyFill="1"/>
    <xf numFmtId="0" fontId="1" fillId="4" borderId="0" xfId="0" applyFont="1" applyFill="1" applyAlignment="1">
      <alignment wrapText="1"/>
    </xf>
    <xf numFmtId="0" fontId="0" fillId="3" borderId="2" xfId="0" applyFill="1" applyBorder="1"/>
    <xf numFmtId="0" fontId="0" fillId="5" borderId="2" xfId="0" applyFill="1" applyBorder="1"/>
    <xf numFmtId="2" fontId="0" fillId="0" borderId="2" xfId="0" applyNumberFormat="1" applyBorder="1"/>
    <xf numFmtId="0" fontId="0" fillId="3" borderId="0" xfId="0" applyFill="1" applyAlignment="1">
      <alignment horizontal="center"/>
    </xf>
    <xf numFmtId="0" fontId="0" fillId="0" borderId="0" xfId="0" applyAlignment="1">
      <alignment vertical="center" wrapText="1"/>
    </xf>
    <xf numFmtId="0" fontId="1" fillId="7" borderId="0" xfId="0" applyFont="1" applyFill="1" applyAlignment="1">
      <alignment horizontal="center"/>
    </xf>
    <xf numFmtId="0" fontId="2" fillId="6" borderId="3" xfId="0" applyFont="1" applyFill="1" applyBorder="1" applyAlignment="1">
      <alignment horizontal="left" vertical="center"/>
    </xf>
    <xf numFmtId="0" fontId="2" fillId="8" borderId="0" xfId="0" applyFont="1" applyFill="1" applyAlignment="1">
      <alignment vertical="center"/>
    </xf>
    <xf numFmtId="0" fontId="2" fillId="8" borderId="4" xfId="0" applyFont="1" applyFill="1" applyBorder="1" applyAlignment="1">
      <alignment vertical="center"/>
    </xf>
    <xf numFmtId="0" fontId="2" fillId="9" borderId="4" xfId="0" applyFont="1" applyFill="1" applyBorder="1" applyAlignment="1">
      <alignment vertical="center"/>
    </xf>
    <xf numFmtId="2" fontId="0" fillId="3" borderId="0" xfId="0" applyNumberFormat="1" applyFill="1" applyAlignment="1">
      <alignment vertical="center" wrapText="1"/>
    </xf>
    <xf numFmtId="0" fontId="0" fillId="10" borderId="0" xfId="0" applyFill="1" applyAlignment="1">
      <alignment horizontal="center"/>
    </xf>
    <xf numFmtId="0" fontId="2" fillId="8" borderId="2" xfId="0" applyFont="1" applyFill="1" applyBorder="1" applyAlignment="1">
      <alignment horizontal="left" vertical="center"/>
    </xf>
    <xf numFmtId="1" fontId="0" fillId="0" borderId="0" xfId="0" applyNumberFormat="1" applyAlignment="1">
      <alignment vertical="center" wrapText="1"/>
    </xf>
  </cellXfs>
  <cellStyles count="1">
    <cellStyle name="Normal" xfId="0" builtinId="0"/>
  </cellStyles>
  <dxfs count="11"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Tiempos Android-style" pivot="0" count="4" xr9:uid="{618F15E6-BBA1-4549-8A57-6A50A508DFF3}">
      <tableStyleElement type="wholeTable" size="0" dxfId="10"/>
      <tableStyleElement type="headerRow" dxfId="9"/>
      <tableStyleElement type="firstRowStripe" dxfId="8"/>
      <tableStyleElement type="secondRowStripe" dxfId="7"/>
    </tableStyle>
    <tableStyle name="Tiempos ESP-style" pivot="0" count="4" xr9:uid="{7F490106-DF75-423B-A009-86B91BF302F6}">
      <tableStyleElement type="wholeTable" size="0" dxfId="6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Tiempo Manual ESP32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12487270341207349"/>
          <c:y val="0.18969925634295715"/>
          <c:w val="0.56981627296587922"/>
          <c:h val="0.6057483960338291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'Tiempos ESP32'!$M$2</c:f>
              <c:strCache>
                <c:ptCount val="1"/>
                <c:pt idx="0">
                  <c:v>Tiempo Total Manual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C70-4459-ABA0-54568D7B95C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6C70-4459-ABA0-54568D7B95C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C70-4459-ABA0-54568D7B95C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6C70-4459-ABA0-54568D7B95C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C70-4459-ABA0-54568D7B95CD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6C70-4459-ABA0-54568D7B95CD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C70-4459-ABA0-54568D7B95CD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C70-4459-ABA0-54568D7B95CD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C70-4459-ABA0-54568D7B95CD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C70-4459-ABA0-54568D7B95CD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C70-4459-ABA0-54568D7B95CD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C70-4459-ABA0-54568D7B95CD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'Tiempos ESP32'!$A$3:$A$8</c:f>
              <c:strCache>
                <c:ptCount val="6"/>
                <c:pt idx="0">
                  <c:v>L1</c:v>
                </c:pt>
                <c:pt idx="1">
                  <c:v>L2</c:v>
                </c:pt>
                <c:pt idx="2">
                  <c:v>M1</c:v>
                </c:pt>
                <c:pt idx="3">
                  <c:v>M2</c:v>
                </c:pt>
                <c:pt idx="4">
                  <c:v>M4</c:v>
                </c:pt>
                <c:pt idx="5">
                  <c:v>M5</c:v>
                </c:pt>
              </c:strCache>
            </c:strRef>
          </c:cat>
          <c:val>
            <c:numRef>
              <c:f>'Tiempos ESP32'!$M$3:$M$8</c:f>
              <c:numCache>
                <c:formatCode>General</c:formatCode>
                <c:ptCount val="6"/>
                <c:pt idx="0">
                  <c:v>28.5</c:v>
                </c:pt>
                <c:pt idx="1">
                  <c:v>25</c:v>
                </c:pt>
                <c:pt idx="2">
                  <c:v>41</c:v>
                </c:pt>
                <c:pt idx="3">
                  <c:v>35</c:v>
                </c:pt>
                <c:pt idx="4">
                  <c:v>29</c:v>
                </c:pt>
                <c:pt idx="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C70-4459-ABA0-54568D7B9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3693440"/>
        <c:axId val="1932362736"/>
      </c:barChart>
      <c:catAx>
        <c:axId val="186369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Nombre del Grupo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32362736"/>
        <c:crosses val="autoZero"/>
        <c:auto val="1"/>
        <c:lblAlgn val="ctr"/>
        <c:lblOffset val="100"/>
        <c:noMultiLvlLbl val="0"/>
      </c:catAx>
      <c:valAx>
        <c:axId val="19323627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Cant</a:t>
                </a:r>
                <a:r>
                  <a:rPr lang="es-AR" baseline="0"/>
                  <a:t>idad de horas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6369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Porcentaje</a:t>
            </a:r>
            <a:r>
              <a:rPr lang="es-AR" baseline="0"/>
              <a:t> de reducción de tiempo al usar IA </a:t>
            </a:r>
          </a:p>
          <a:p>
            <a:pPr>
              <a:defRPr/>
            </a:pPr>
            <a:r>
              <a:rPr lang="es-AR" baseline="0"/>
              <a:t>con respecto del desarrollo manual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'Tiempos ESP32'!$A$34</c:f>
              <c:strCache>
                <c:ptCount val="1"/>
                <c:pt idx="0">
                  <c:v>L1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'Tiempos ESP32'!$B$33</c:f>
              <c:strCache>
                <c:ptCount val="1"/>
                <c:pt idx="0">
                  <c:v>Reducción</c:v>
                </c:pt>
              </c:strCache>
            </c:strRef>
          </c:cat>
          <c:val>
            <c:numRef>
              <c:f>'Tiempos ESP32'!$B$34</c:f>
              <c:numCache>
                <c:formatCode>0</c:formatCode>
                <c:ptCount val="1"/>
                <c:pt idx="0">
                  <c:v>92.982456140350877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80-4AF1-9B96-D31528765867}"/>
            </c:ext>
          </c:extLst>
        </c:ser>
        <c:ser>
          <c:idx val="1"/>
          <c:order val="1"/>
          <c:tx>
            <c:strRef>
              <c:f>'Tiempos ESP32'!$A$35</c:f>
              <c:strCache>
                <c:ptCount val="1"/>
                <c:pt idx="0">
                  <c:v>L2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'Tiempos ESP32'!$B$33</c:f>
              <c:strCache>
                <c:ptCount val="1"/>
                <c:pt idx="0">
                  <c:v>Reducción</c:v>
                </c:pt>
              </c:strCache>
            </c:strRef>
          </c:cat>
          <c:val>
            <c:numRef>
              <c:f>'Tiempos ESP32'!$B$35</c:f>
              <c:numCache>
                <c:formatCode>0</c:formatCode>
                <c:ptCount val="1"/>
                <c:pt idx="0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80-4AF1-9B96-D31528765867}"/>
            </c:ext>
          </c:extLst>
        </c:ser>
        <c:ser>
          <c:idx val="2"/>
          <c:order val="2"/>
          <c:tx>
            <c:strRef>
              <c:f>'Tiempos ESP32'!$A$36</c:f>
              <c:strCache>
                <c:ptCount val="1"/>
                <c:pt idx="0">
                  <c:v>M1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'Tiempos ESP32'!$B$33</c:f>
              <c:strCache>
                <c:ptCount val="1"/>
                <c:pt idx="0">
                  <c:v>Reducción</c:v>
                </c:pt>
              </c:strCache>
            </c:strRef>
          </c:cat>
          <c:val>
            <c:numRef>
              <c:f>'Tiempos ESP32'!$B$36</c:f>
              <c:numCache>
                <c:formatCode>0</c:formatCode>
                <c:ptCount val="1"/>
                <c:pt idx="0">
                  <c:v>85.365853658536579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80-4AF1-9B96-D31528765867}"/>
            </c:ext>
          </c:extLst>
        </c:ser>
        <c:ser>
          <c:idx val="3"/>
          <c:order val="3"/>
          <c:tx>
            <c:strRef>
              <c:f>'Tiempos ESP32'!$A$37</c:f>
              <c:strCache>
                <c:ptCount val="1"/>
                <c:pt idx="0">
                  <c:v>M2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'Tiempos ESP32'!$B$33</c:f>
              <c:strCache>
                <c:ptCount val="1"/>
                <c:pt idx="0">
                  <c:v>Reducción</c:v>
                </c:pt>
              </c:strCache>
            </c:strRef>
          </c:cat>
          <c:val>
            <c:numRef>
              <c:f>'Tiempos ESP32'!$B$37</c:f>
              <c:numCache>
                <c:formatCode>0</c:formatCode>
                <c:ptCount val="1"/>
                <c:pt idx="0">
                  <c:v>91.428571428571431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80-4AF1-9B96-D31528765867}"/>
            </c:ext>
          </c:extLst>
        </c:ser>
        <c:ser>
          <c:idx val="4"/>
          <c:order val="4"/>
          <c:tx>
            <c:strRef>
              <c:f>'Tiempos ESP32'!$A$38</c:f>
              <c:strCache>
                <c:ptCount val="1"/>
                <c:pt idx="0">
                  <c:v>M4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'Tiempos ESP32'!$B$33</c:f>
              <c:strCache>
                <c:ptCount val="1"/>
                <c:pt idx="0">
                  <c:v>Reducción</c:v>
                </c:pt>
              </c:strCache>
            </c:strRef>
          </c:cat>
          <c:val>
            <c:numRef>
              <c:f>'Tiempos ESP32'!$B$38</c:f>
              <c:numCache>
                <c:formatCode>0</c:formatCode>
                <c:ptCount val="1"/>
                <c:pt idx="0">
                  <c:v>82.758620689655174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D80-4AF1-9B96-D31528765867}"/>
            </c:ext>
          </c:extLst>
        </c:ser>
        <c:ser>
          <c:idx val="5"/>
          <c:order val="5"/>
          <c:tx>
            <c:strRef>
              <c:f>'Tiempos ESP32'!$A$39</c:f>
              <c:strCache>
                <c:ptCount val="1"/>
                <c:pt idx="0">
                  <c:v>M5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'Tiempos ESP32'!$B$33</c:f>
              <c:strCache>
                <c:ptCount val="1"/>
                <c:pt idx="0">
                  <c:v>Reducción</c:v>
                </c:pt>
              </c:strCache>
            </c:strRef>
          </c:cat>
          <c:val>
            <c:numRef>
              <c:f>'Tiempos ESP32'!$B$39</c:f>
              <c:numCache>
                <c:formatCode>0</c:formatCode>
                <c:ptCount val="1"/>
                <c:pt idx="0">
                  <c:v>72.727272727272734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D80-4AF1-9B96-D315287658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60099120"/>
        <c:axId val="1260100368"/>
      </c:barChart>
      <c:catAx>
        <c:axId val="126009912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Grupos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crossAx val="1260100368"/>
        <c:crosses val="autoZero"/>
        <c:auto val="1"/>
        <c:lblAlgn val="ctr"/>
        <c:lblOffset val="100"/>
        <c:noMultiLvlLbl val="0"/>
      </c:catAx>
      <c:valAx>
        <c:axId val="126010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Porcentaje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6009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Desarrollo</a:t>
            </a:r>
            <a:r>
              <a:rPr lang="es-AR" baseline="0"/>
              <a:t> ESP32 Manual Vs IA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'Tiempos ESP32'!$B$24</c:f>
              <c:strCache>
                <c:ptCount val="1"/>
                <c:pt idx="0">
                  <c:v>Manual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'Tiempos ESP32'!$A$25:$A$30</c:f>
              <c:strCache>
                <c:ptCount val="6"/>
                <c:pt idx="0">
                  <c:v>L1</c:v>
                </c:pt>
                <c:pt idx="1">
                  <c:v>L2</c:v>
                </c:pt>
                <c:pt idx="2">
                  <c:v>M1</c:v>
                </c:pt>
                <c:pt idx="3">
                  <c:v>M2</c:v>
                </c:pt>
                <c:pt idx="4">
                  <c:v>M4</c:v>
                </c:pt>
                <c:pt idx="5">
                  <c:v>M5</c:v>
                </c:pt>
              </c:strCache>
            </c:strRef>
          </c:cat>
          <c:val>
            <c:numRef>
              <c:f>'Tiempos ESP32'!$B$25:$B$30</c:f>
              <c:numCache>
                <c:formatCode>General</c:formatCode>
                <c:ptCount val="6"/>
                <c:pt idx="0">
                  <c:v>28.5</c:v>
                </c:pt>
                <c:pt idx="1">
                  <c:v>25</c:v>
                </c:pt>
                <c:pt idx="2">
                  <c:v>41</c:v>
                </c:pt>
                <c:pt idx="3">
                  <c:v>35</c:v>
                </c:pt>
                <c:pt idx="4">
                  <c:v>29</c:v>
                </c:pt>
                <c:pt idx="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FF-499B-975D-9E1F357E1424}"/>
            </c:ext>
          </c:extLst>
        </c:ser>
        <c:ser>
          <c:idx val="1"/>
          <c:order val="1"/>
          <c:tx>
            <c:strRef>
              <c:f>'Tiempos ESP32'!$C$24</c:f>
              <c:strCache>
                <c:ptCount val="1"/>
                <c:pt idx="0">
                  <c:v>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'Tiempos ESP32'!$A$25:$A$30</c:f>
              <c:strCache>
                <c:ptCount val="6"/>
                <c:pt idx="0">
                  <c:v>L1</c:v>
                </c:pt>
                <c:pt idx="1">
                  <c:v>L2</c:v>
                </c:pt>
                <c:pt idx="2">
                  <c:v>M1</c:v>
                </c:pt>
                <c:pt idx="3">
                  <c:v>M2</c:v>
                </c:pt>
                <c:pt idx="4">
                  <c:v>M4</c:v>
                </c:pt>
                <c:pt idx="5">
                  <c:v>M5</c:v>
                </c:pt>
              </c:strCache>
            </c:strRef>
          </c:cat>
          <c:val>
            <c:numRef>
              <c:f>'Tiempos ESP32'!$C$25:$C$30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6</c:v>
                </c:pt>
                <c:pt idx="3">
                  <c:v>3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FF-499B-975D-9E1F357E1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7789600"/>
        <c:axId val="1147792928"/>
      </c:barChart>
      <c:catAx>
        <c:axId val="1147789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Grupos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47792928"/>
        <c:crosses val="autoZero"/>
        <c:auto val="1"/>
        <c:lblAlgn val="ctr"/>
        <c:lblOffset val="100"/>
        <c:noMultiLvlLbl val="0"/>
      </c:catAx>
      <c:valAx>
        <c:axId val="114779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Cant.</a:t>
                </a:r>
                <a:r>
                  <a:rPr lang="es-AR" baseline="0"/>
                  <a:t>  de horas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4778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Speedup ESP32 Manual</a:t>
            </a:r>
            <a:r>
              <a:rPr lang="es-AR" baseline="0"/>
              <a:t> vs IA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'Tiempos ESP32'!$D$24</c:f>
              <c:strCache>
                <c:ptCount val="1"/>
                <c:pt idx="0">
                  <c:v>Speedup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74-494B-B444-83599EA18FD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74-494B-B444-83599EA18FD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74-494B-B444-83599EA18FD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174-494B-B444-83599EA18FD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174-494B-B444-83599EA18FD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174-494B-B444-83599EA18F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('Tiempos ESP32'!$A$25,'Tiempos ESP32'!$A$26,'Tiempos ESP32'!$A$27,'Tiempos ESP32'!$A$28,'Tiempos ESP32'!$A$29,'Tiempos ESP32'!$A$30)</c:f>
              <c:strCache>
                <c:ptCount val="6"/>
                <c:pt idx="0">
                  <c:v>L1</c:v>
                </c:pt>
                <c:pt idx="1">
                  <c:v>L2</c:v>
                </c:pt>
                <c:pt idx="2">
                  <c:v>M1</c:v>
                </c:pt>
                <c:pt idx="3">
                  <c:v>M2</c:v>
                </c:pt>
                <c:pt idx="4">
                  <c:v>M4</c:v>
                </c:pt>
                <c:pt idx="5">
                  <c:v>M5</c:v>
                </c:pt>
              </c:strCache>
            </c:strRef>
          </c:cat>
          <c:val>
            <c:numRef>
              <c:f>('Tiempos ESP32'!$D$25,'Tiempos ESP32'!$D$26,'Tiempos ESP32'!$D$27,'Tiempos ESP32'!$D$28,'Tiempos ESP32'!$D$29,'Tiempos ESP32'!$D$30)</c:f>
              <c:numCache>
                <c:formatCode>0.00</c:formatCode>
                <c:ptCount val="6"/>
                <c:pt idx="0">
                  <c:v>14.25</c:v>
                </c:pt>
                <c:pt idx="1">
                  <c:v>5</c:v>
                </c:pt>
                <c:pt idx="2">
                  <c:v>6.833333333333333</c:v>
                </c:pt>
                <c:pt idx="3">
                  <c:v>11.666666666666666</c:v>
                </c:pt>
                <c:pt idx="4">
                  <c:v>5.8</c:v>
                </c:pt>
                <c:pt idx="5">
                  <c:v>3.6666666666666665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174-494B-B444-83599EA18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6753568"/>
        <c:axId val="1146754816"/>
      </c:barChart>
      <c:catAx>
        <c:axId val="1146753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46754816"/>
        <c:crosses val="autoZero"/>
        <c:auto val="1"/>
        <c:lblAlgn val="ctr"/>
        <c:lblOffset val="100"/>
        <c:noMultiLvlLbl val="0"/>
      </c:catAx>
      <c:valAx>
        <c:axId val="114675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4675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Tiempo Manual</a:t>
            </a:r>
            <a:r>
              <a:rPr lang="es-AR" baseline="0"/>
              <a:t> </a:t>
            </a:r>
            <a:r>
              <a:rPr lang="es-AR"/>
              <a:t>Android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12487270341207349"/>
          <c:y val="0.18969925634295715"/>
          <c:w val="0.56981627296587922"/>
          <c:h val="0.6057483960338291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'Tiempos Android'!$M$1</c:f>
              <c:strCache>
                <c:ptCount val="1"/>
                <c:pt idx="0">
                  <c:v>Tiempo Total Manual(horas)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73A-421D-999E-0569B5DA5F0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73A-421D-999E-0569B5DA5F0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73A-421D-999E-0569B5DA5F0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73A-421D-999E-0569B5DA5F0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73A-421D-999E-0569B5DA5F0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73A-421D-999E-0569B5DA5F0C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3A-421D-999E-0569B5DA5F0C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3A-421D-999E-0569B5DA5F0C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73A-421D-999E-0569B5DA5F0C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73A-421D-999E-0569B5DA5F0C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73A-421D-999E-0569B5DA5F0C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73A-421D-999E-0569B5DA5F0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'Tiempos ESP32'!$A$3:$A$8</c:f>
              <c:strCache>
                <c:ptCount val="6"/>
                <c:pt idx="0">
                  <c:v>L1</c:v>
                </c:pt>
                <c:pt idx="1">
                  <c:v>L2</c:v>
                </c:pt>
                <c:pt idx="2">
                  <c:v>M1</c:v>
                </c:pt>
                <c:pt idx="3">
                  <c:v>M2</c:v>
                </c:pt>
                <c:pt idx="4">
                  <c:v>M4</c:v>
                </c:pt>
                <c:pt idx="5">
                  <c:v>M5</c:v>
                </c:pt>
              </c:strCache>
            </c:strRef>
          </c:cat>
          <c:val>
            <c:numRef>
              <c:f>'Tiempos Android'!$M$2:$M$7</c:f>
              <c:numCache>
                <c:formatCode>General</c:formatCode>
                <c:ptCount val="6"/>
                <c:pt idx="0">
                  <c:v>7</c:v>
                </c:pt>
                <c:pt idx="1">
                  <c:v>6</c:v>
                </c:pt>
                <c:pt idx="2">
                  <c:v>7</c:v>
                </c:pt>
                <c:pt idx="3">
                  <c:v>9.5</c:v>
                </c:pt>
                <c:pt idx="4">
                  <c:v>8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73A-421D-999E-0569B5DA5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3693440"/>
        <c:axId val="1932362736"/>
      </c:barChart>
      <c:catAx>
        <c:axId val="186369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Nombre del Grupo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32362736"/>
        <c:crosses val="autoZero"/>
        <c:auto val="1"/>
        <c:lblAlgn val="ctr"/>
        <c:lblOffset val="100"/>
        <c:noMultiLvlLbl val="0"/>
      </c:catAx>
      <c:valAx>
        <c:axId val="19323627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Cant</a:t>
                </a:r>
                <a:r>
                  <a:rPr lang="es-AR" baseline="0"/>
                  <a:t>idad de horas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6369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44450</xdr:rowOff>
    </xdr:from>
    <xdr:to>
      <xdr:col>6</xdr:col>
      <xdr:colOff>0</xdr:colOff>
      <xdr:row>17</xdr:row>
      <xdr:rowOff>25400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2694738-31C9-4D4A-8FFD-69227ED619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18</xdr:row>
      <xdr:rowOff>82550</xdr:rowOff>
    </xdr:from>
    <xdr:to>
      <xdr:col>6</xdr:col>
      <xdr:colOff>0</xdr:colOff>
      <xdr:row>33</xdr:row>
      <xdr:rowOff>63500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BBC83ED-51CC-4996-AA0F-5F168EE6F7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438150</xdr:colOff>
      <xdr:row>2</xdr:row>
      <xdr:rowOff>0</xdr:rowOff>
    </xdr:from>
    <xdr:to>
      <xdr:col>12</xdr:col>
      <xdr:colOff>438150</xdr:colOff>
      <xdr:row>16</xdr:row>
      <xdr:rowOff>165100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E0C51C4-DDFC-402B-970E-C5C0C75F75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527050</xdr:colOff>
      <xdr:row>18</xdr:row>
      <xdr:rowOff>6350</xdr:rowOff>
    </xdr:from>
    <xdr:to>
      <xdr:col>12</xdr:col>
      <xdr:colOff>527050</xdr:colOff>
      <xdr:row>32</xdr:row>
      <xdr:rowOff>171450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E8E6710-E783-4A74-A00B-2F86D3A63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7</xdr:col>
      <xdr:colOff>0</xdr:colOff>
      <xdr:row>13</xdr:row>
      <xdr:rowOff>165100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F097900-DAAE-4B26-B7CF-08492423E0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B2C890-BAE8-417C-BA10-7BFE72224099}" name="Tiempos" displayName="Tiempos" ref="A2:M9">
  <tableColumns count="13">
    <tableColumn id="1" xr3:uid="{82DA2725-6ECD-4A2F-9D03-DE57049BC492}" name="Grupo"/>
    <tableColumn id="2" xr3:uid="{3B90950D-FBBE-4A15-BA4D-B9EF86F9F588}" name="22/09"/>
    <tableColumn id="3" xr3:uid="{E72CEABC-0079-4DD2-917E-D7C51FF33CAC}" name="29/09"/>
    <tableColumn id="4" xr3:uid="{8661B6DF-B9C7-4774-AAE2-345607F0FD53}" name="06/10"/>
    <tableColumn id="5" xr3:uid="{5FE047F6-68B0-4371-A717-200A5D8952B5}" name="13/10"/>
    <tableColumn id="6" xr3:uid="{83D63B81-9AB7-4B74-8C6F-C15C9C12454D}" name="20/10"/>
    <tableColumn id="7" xr3:uid="{4B029240-18BA-44E2-805F-9B4DB4B57D8E}" name="27/10"/>
    <tableColumn id="8" xr3:uid="{12CAAC9C-5F4C-4924-842D-F65272728402}" name="03/11"/>
    <tableColumn id="9" xr3:uid="{ACF583F8-8290-46F9-819B-521351E0CB06}" name="10/11"/>
    <tableColumn id="10" xr3:uid="{811EA9F2-D897-45B1-ADEA-A3D93FC85693}" name="17/11"/>
    <tableColumn id="11" xr3:uid="{97F456A4-34EC-4C27-B86E-88CB8C570B75}" name="24/11"/>
    <tableColumn id="12" xr3:uid="{B8911BF9-EC35-4DB0-963A-8F7DB66E4059}" name="01/12"/>
    <tableColumn id="14" xr3:uid="{2424B525-EE0B-4234-8F90-31A6CC2DD879}" name="Tiempo Total Manual" dataDxfId="2">
      <calculatedColumnFormula>SUM(Tiempos[[#This Row],[22/09]:[01/12]])</calculatedColumnFormula>
    </tableColumn>
  </tableColumns>
  <tableStyleInfo name="Tiempos ESP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F4B596-0A9E-43D8-A65E-A12A72EC39D2}" name="Tiempos3" displayName="Tiempos3" ref="A14:C21">
  <tableColumns count="3">
    <tableColumn id="1" xr3:uid="{184B6E68-4FB0-4D10-9A43-E1FEDD51F671}" name="Grupo"/>
    <tableColumn id="14" xr3:uid="{3696D67E-E09F-426F-AF17-8E62BFA7287F}" name="Tiempo IA" dataDxfId="1">
      <calculatedColumnFormula>SUM(#REF!)</calculatedColumnFormula>
    </tableColumn>
    <tableColumn id="2" xr3:uid="{F4046228-AD0C-407E-8FC1-AB9230648619}" name="Columna1"/>
  </tableColumns>
  <tableStyleInfo name="Tiempos ESP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DAE96F-C277-4A12-89AB-15AA00102E25}" name="Tiempos_2" displayName="Tiempos_2" ref="A1:M9">
  <tableColumns count="13">
    <tableColumn id="1" xr3:uid="{21C1E249-7D92-4614-9274-ADF2D1E94A55}" name="Grupo"/>
    <tableColumn id="2" xr3:uid="{7D0F17B7-605B-4CDE-9EF2-13C1FCEF7A64}" name="22/09"/>
    <tableColumn id="3" xr3:uid="{D9B1BCDB-63C2-4BF0-A89F-983E5CCD00D4}" name="29/09"/>
    <tableColumn id="4" xr3:uid="{EEA68839-A5C0-4D9C-B7F8-FB80562F0377}" name="06/10"/>
    <tableColumn id="5" xr3:uid="{CB91215E-7687-4CF2-A0FB-E0F4EFC64613}" name="13/10"/>
    <tableColumn id="6" xr3:uid="{4C1BC287-E49E-4B7A-826A-9F6621E79180}" name="20/10"/>
    <tableColumn id="7" xr3:uid="{9BA6415F-8548-40D9-BB87-AD92F75133A4}" name="27/10"/>
    <tableColumn id="8" xr3:uid="{25A84BEF-F8B1-40CB-A899-36A1A87E517D}" name="03/11"/>
    <tableColumn id="9" xr3:uid="{C26CF353-3F62-428D-819F-4213B7F4D7E6}" name="10/11"/>
    <tableColumn id="10" xr3:uid="{397BF2FD-AE01-45C1-977B-995F1C75E070}" name="17/11"/>
    <tableColumn id="11" xr3:uid="{FB7B2E36-6D49-405D-B94E-7C832BE98441}" name="24/11"/>
    <tableColumn id="12" xr3:uid="{85ADDB57-24BE-4606-BDB6-A206FC54D694}" name="01/12"/>
    <tableColumn id="13" xr3:uid="{DED497EC-C977-403A-91BE-2E91E268300B}" name="Tiempo Total Manual(horas)" dataDxfId="0">
      <calculatedColumnFormula>SUM(Tiempos_2[[#This Row],[22/09]:[01/12]])</calculatedColumnFormula>
    </tableColumn>
  </tableColumns>
  <tableStyleInfo name="Tiempos Android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opLeftCell="A21" workbookViewId="0">
      <selection activeCell="P22" sqref="P22"/>
    </sheetView>
  </sheetViews>
  <sheetFormatPr baseColWidth="10" defaultColWidth="8.7265625" defaultRowHeight="14.5" x14ac:dyDescent="0.35"/>
  <cols>
    <col min="2" max="3" width="11.26953125" bestFit="1" customWidth="1"/>
    <col min="12" max="12" width="17.453125" customWidth="1"/>
    <col min="13" max="13" width="18.6328125" customWidth="1"/>
  </cols>
  <sheetData>
    <row r="1" spans="1:13" x14ac:dyDescent="0.35">
      <c r="A1" s="16" t="s">
        <v>27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t="s">
        <v>19</v>
      </c>
    </row>
    <row r="3" spans="1:13" x14ac:dyDescent="0.35">
      <c r="A3" s="20" t="s">
        <v>12</v>
      </c>
      <c r="B3" s="3">
        <v>8</v>
      </c>
      <c r="C3" s="3">
        <v>4</v>
      </c>
      <c r="D3" s="3">
        <v>3.5</v>
      </c>
      <c r="E3" s="3">
        <v>10</v>
      </c>
      <c r="F3" s="3">
        <v>3</v>
      </c>
      <c r="H3" s="4" t="s">
        <v>16</v>
      </c>
      <c r="I3" s="4" t="s">
        <v>16</v>
      </c>
      <c r="J3" s="4" t="s">
        <v>16</v>
      </c>
      <c r="K3" s="4" t="s">
        <v>16</v>
      </c>
      <c r="L3" s="4" t="s">
        <v>16</v>
      </c>
      <c r="M3" s="6">
        <f>SUM(Tiempos[[#This Row],[22/09]:[01/12]])</f>
        <v>28.5</v>
      </c>
    </row>
    <row r="4" spans="1:13" x14ac:dyDescent="0.35">
      <c r="A4" s="20" t="s">
        <v>13</v>
      </c>
      <c r="B4" s="3">
        <v>9</v>
      </c>
      <c r="C4" s="3">
        <v>3</v>
      </c>
      <c r="D4" s="3">
        <v>1</v>
      </c>
      <c r="E4" s="3">
        <v>8</v>
      </c>
      <c r="F4" s="3">
        <v>4</v>
      </c>
      <c r="H4" s="4" t="s">
        <v>16</v>
      </c>
      <c r="I4" s="4" t="s">
        <v>16</v>
      </c>
      <c r="J4" s="4" t="s">
        <v>16</v>
      </c>
      <c r="K4" s="4" t="s">
        <v>16</v>
      </c>
      <c r="L4" s="4" t="s">
        <v>16</v>
      </c>
      <c r="M4" s="6">
        <f>SUM(Tiempos[[#This Row],[22/09]:[01/12]])</f>
        <v>25</v>
      </c>
    </row>
    <row r="5" spans="1:13" x14ac:dyDescent="0.35">
      <c r="A5" s="20" t="s">
        <v>14</v>
      </c>
      <c r="B5" s="3">
        <v>6</v>
      </c>
      <c r="C5" s="3">
        <v>22</v>
      </c>
      <c r="D5" s="3">
        <v>2</v>
      </c>
      <c r="E5" s="3">
        <v>4</v>
      </c>
      <c r="F5" s="3">
        <v>6</v>
      </c>
      <c r="G5" s="3">
        <v>1</v>
      </c>
      <c r="H5" s="4" t="s">
        <v>16</v>
      </c>
      <c r="I5" s="4" t="s">
        <v>16</v>
      </c>
      <c r="J5" s="4" t="s">
        <v>16</v>
      </c>
      <c r="K5" s="4" t="s">
        <v>16</v>
      </c>
      <c r="L5" s="4" t="s">
        <v>16</v>
      </c>
      <c r="M5" s="6">
        <f>SUM(Tiempos[[#This Row],[22/09]:[01/12]])</f>
        <v>41</v>
      </c>
    </row>
    <row r="6" spans="1:13" x14ac:dyDescent="0.35">
      <c r="A6" s="20" t="s">
        <v>15</v>
      </c>
      <c r="B6" s="3">
        <v>13</v>
      </c>
      <c r="C6" s="3">
        <v>3</v>
      </c>
      <c r="D6" s="3">
        <v>9</v>
      </c>
      <c r="E6" s="4" t="s">
        <v>16</v>
      </c>
      <c r="F6" s="3">
        <v>6</v>
      </c>
      <c r="G6" s="3">
        <v>4</v>
      </c>
      <c r="H6" s="4" t="s">
        <v>16</v>
      </c>
      <c r="I6" s="4" t="s">
        <v>16</v>
      </c>
      <c r="J6" s="4" t="s">
        <v>16</v>
      </c>
      <c r="K6" s="4" t="s">
        <v>16</v>
      </c>
      <c r="L6" s="4" t="s">
        <v>16</v>
      </c>
      <c r="M6" s="6">
        <f>SUM(Tiempos[[#This Row],[22/09]:[01/12]])</f>
        <v>35</v>
      </c>
    </row>
    <row r="7" spans="1:13" x14ac:dyDescent="0.35">
      <c r="A7" s="20" t="s">
        <v>17</v>
      </c>
      <c r="B7" s="3">
        <v>12</v>
      </c>
      <c r="C7" s="3">
        <v>2</v>
      </c>
      <c r="D7" s="3">
        <v>5</v>
      </c>
      <c r="E7" s="3">
        <v>8</v>
      </c>
      <c r="F7" s="3">
        <v>2</v>
      </c>
      <c r="G7" s="4" t="s">
        <v>16</v>
      </c>
      <c r="H7" s="4" t="s">
        <v>16</v>
      </c>
      <c r="I7" s="4" t="s">
        <v>16</v>
      </c>
      <c r="J7" s="4" t="s">
        <v>16</v>
      </c>
      <c r="K7" s="4" t="s">
        <v>16</v>
      </c>
      <c r="L7" s="4" t="s">
        <v>16</v>
      </c>
      <c r="M7" s="6">
        <f>SUM(Tiempos[[#This Row],[22/09]:[01/12]])</f>
        <v>29</v>
      </c>
    </row>
    <row r="8" spans="1:13" x14ac:dyDescent="0.35">
      <c r="A8" s="20" t="s">
        <v>18</v>
      </c>
      <c r="B8" s="3">
        <v>15</v>
      </c>
      <c r="C8" s="3">
        <v>3</v>
      </c>
      <c r="D8" s="3">
        <v>2</v>
      </c>
      <c r="E8" s="3">
        <v>2</v>
      </c>
      <c r="F8" s="4" t="s">
        <v>16</v>
      </c>
      <c r="G8" s="5" t="s">
        <v>16</v>
      </c>
      <c r="H8" s="4" t="s">
        <v>16</v>
      </c>
      <c r="I8" s="4" t="s">
        <v>16</v>
      </c>
      <c r="J8" s="4" t="s">
        <v>16</v>
      </c>
      <c r="K8" s="4" t="s">
        <v>16</v>
      </c>
      <c r="L8" s="4" t="s">
        <v>16</v>
      </c>
      <c r="M8" s="6">
        <f>SUM(Tiempos[[#This Row],[22/09]:[01/12]])</f>
        <v>22</v>
      </c>
    </row>
    <row r="9" spans="1:13" ht="29" x14ac:dyDescent="0.35">
      <c r="A9" s="8"/>
      <c r="B9" s="8"/>
      <c r="C9" s="8"/>
      <c r="D9" s="8"/>
      <c r="E9" s="8"/>
      <c r="F9" s="8"/>
      <c r="G9" s="8"/>
      <c r="H9" s="8"/>
      <c r="I9" s="8"/>
      <c r="J9" s="8"/>
      <c r="K9" s="9"/>
      <c r="L9" s="12" t="s">
        <v>22</v>
      </c>
      <c r="M9" s="11">
        <f>AVERAGE(M2:M8)</f>
        <v>30.083333333333332</v>
      </c>
    </row>
    <row r="13" spans="1:13" x14ac:dyDescent="0.35">
      <c r="A13" s="16" t="s">
        <v>31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</row>
    <row r="14" spans="1:13" x14ac:dyDescent="0.35">
      <c r="A14" s="1" t="s">
        <v>0</v>
      </c>
      <c r="B14" t="s">
        <v>28</v>
      </c>
      <c r="C14" t="s">
        <v>30</v>
      </c>
    </row>
    <row r="15" spans="1:13" x14ac:dyDescent="0.35">
      <c r="A15" s="20" t="s">
        <v>12</v>
      </c>
      <c r="B15" s="6">
        <v>2</v>
      </c>
    </row>
    <row r="16" spans="1:13" x14ac:dyDescent="0.35">
      <c r="A16" s="20" t="s">
        <v>13</v>
      </c>
      <c r="B16" s="6">
        <v>5</v>
      </c>
    </row>
    <row r="17" spans="1:11" x14ac:dyDescent="0.35">
      <c r="A17" s="20" t="s">
        <v>14</v>
      </c>
      <c r="B17" s="6">
        <v>6</v>
      </c>
    </row>
    <row r="18" spans="1:11" x14ac:dyDescent="0.35">
      <c r="A18" s="20" t="s">
        <v>15</v>
      </c>
      <c r="B18" s="6">
        <v>3</v>
      </c>
    </row>
    <row r="19" spans="1:11" x14ac:dyDescent="0.35">
      <c r="A19" s="20" t="s">
        <v>17</v>
      </c>
      <c r="B19" s="6">
        <v>5</v>
      </c>
    </row>
    <row r="20" spans="1:11" x14ac:dyDescent="0.35">
      <c r="A20" s="20" t="s">
        <v>18</v>
      </c>
      <c r="B20" s="6">
        <v>6</v>
      </c>
      <c r="C20" t="s">
        <v>29</v>
      </c>
    </row>
    <row r="21" spans="1:11" x14ac:dyDescent="0.35">
      <c r="A21" s="8"/>
      <c r="B21" s="11">
        <f>AVERAGE(B14:B20)</f>
        <v>4.5</v>
      </c>
    </row>
    <row r="23" spans="1:11" x14ac:dyDescent="0.35">
      <c r="A23" s="18" t="s">
        <v>32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</row>
    <row r="24" spans="1:11" x14ac:dyDescent="0.35">
      <c r="A24" s="19" t="s">
        <v>0</v>
      </c>
      <c r="B24" s="19" t="s">
        <v>33</v>
      </c>
      <c r="C24" s="19" t="s">
        <v>34</v>
      </c>
      <c r="D24" s="19" t="s">
        <v>35</v>
      </c>
    </row>
    <row r="25" spans="1:11" x14ac:dyDescent="0.35">
      <c r="A25" s="21" t="s">
        <v>12</v>
      </c>
      <c r="B25" s="17">
        <f>M3</f>
        <v>28.5</v>
      </c>
      <c r="C25" s="17">
        <f>B15</f>
        <v>2</v>
      </c>
      <c r="D25" s="23">
        <f>B25/C25</f>
        <v>14.25</v>
      </c>
    </row>
    <row r="26" spans="1:11" x14ac:dyDescent="0.35">
      <c r="A26" s="21" t="s">
        <v>13</v>
      </c>
      <c r="B26" s="17">
        <f t="shared" ref="B26:B30" si="0">M4</f>
        <v>25</v>
      </c>
      <c r="C26" s="17">
        <f t="shared" ref="C26:C30" si="1">B16</f>
        <v>5</v>
      </c>
      <c r="D26" s="23">
        <f t="shared" ref="D26:D30" si="2">B26/C26</f>
        <v>5</v>
      </c>
    </row>
    <row r="27" spans="1:11" x14ac:dyDescent="0.35">
      <c r="A27" s="21" t="s">
        <v>14</v>
      </c>
      <c r="B27" s="17">
        <f t="shared" si="0"/>
        <v>41</v>
      </c>
      <c r="C27" s="17">
        <f t="shared" si="1"/>
        <v>6</v>
      </c>
      <c r="D27" s="23">
        <f t="shared" si="2"/>
        <v>6.833333333333333</v>
      </c>
    </row>
    <row r="28" spans="1:11" x14ac:dyDescent="0.35">
      <c r="A28" s="21" t="s">
        <v>15</v>
      </c>
      <c r="B28" s="17">
        <f t="shared" si="0"/>
        <v>35</v>
      </c>
      <c r="C28" s="17">
        <f t="shared" si="1"/>
        <v>3</v>
      </c>
      <c r="D28" s="23">
        <f t="shared" si="2"/>
        <v>11.666666666666666</v>
      </c>
    </row>
    <row r="29" spans="1:11" x14ac:dyDescent="0.35">
      <c r="A29" s="21" t="s">
        <v>17</v>
      </c>
      <c r="B29" s="17">
        <f t="shared" si="0"/>
        <v>29</v>
      </c>
      <c r="C29" s="17">
        <f t="shared" si="1"/>
        <v>5</v>
      </c>
      <c r="D29" s="23">
        <f t="shared" si="2"/>
        <v>5.8</v>
      </c>
    </row>
    <row r="30" spans="1:11" x14ac:dyDescent="0.35">
      <c r="A30" s="21" t="s">
        <v>18</v>
      </c>
      <c r="B30" s="17">
        <f t="shared" si="0"/>
        <v>22</v>
      </c>
      <c r="C30" s="17">
        <f t="shared" si="1"/>
        <v>6</v>
      </c>
      <c r="D30" s="23">
        <f t="shared" si="2"/>
        <v>3.6666666666666665</v>
      </c>
    </row>
    <row r="31" spans="1:11" x14ac:dyDescent="0.35">
      <c r="A31" s="22"/>
    </row>
    <row r="32" spans="1:11" x14ac:dyDescent="0.35">
      <c r="A32" s="24" t="s">
        <v>37</v>
      </c>
      <c r="B32" s="24"/>
      <c r="C32" s="24"/>
      <c r="D32" s="24"/>
      <c r="E32" s="24"/>
      <c r="F32" s="24"/>
    </row>
    <row r="33" spans="1:3" x14ac:dyDescent="0.35">
      <c r="A33" s="19" t="s">
        <v>0</v>
      </c>
      <c r="B33" s="19" t="s">
        <v>36</v>
      </c>
      <c r="C33" s="19" t="s">
        <v>35</v>
      </c>
    </row>
    <row r="34" spans="1:3" x14ac:dyDescent="0.35">
      <c r="A34" s="21" t="s">
        <v>12</v>
      </c>
      <c r="B34" s="26">
        <f>((B25-C25)/B25)*100</f>
        <v>92.982456140350877</v>
      </c>
      <c r="C34" s="23">
        <f>D25</f>
        <v>14.25</v>
      </c>
    </row>
    <row r="35" spans="1:3" x14ac:dyDescent="0.35">
      <c r="A35" s="21" t="s">
        <v>13</v>
      </c>
      <c r="B35" s="26">
        <f t="shared" ref="B35:B39" si="3">((B26-C26)/B26)*100</f>
        <v>80</v>
      </c>
      <c r="C35" s="23">
        <f t="shared" ref="C35:C39" si="4">D26</f>
        <v>5</v>
      </c>
    </row>
    <row r="36" spans="1:3" x14ac:dyDescent="0.35">
      <c r="A36" s="21" t="s">
        <v>14</v>
      </c>
      <c r="B36" s="26">
        <f t="shared" si="3"/>
        <v>85.365853658536579</v>
      </c>
      <c r="C36" s="23">
        <f t="shared" si="4"/>
        <v>6.833333333333333</v>
      </c>
    </row>
    <row r="37" spans="1:3" x14ac:dyDescent="0.35">
      <c r="A37" s="21" t="s">
        <v>15</v>
      </c>
      <c r="B37" s="26">
        <f t="shared" si="3"/>
        <v>91.428571428571431</v>
      </c>
      <c r="C37" s="23">
        <f t="shared" si="4"/>
        <v>11.666666666666666</v>
      </c>
    </row>
    <row r="38" spans="1:3" x14ac:dyDescent="0.35">
      <c r="A38" s="21" t="s">
        <v>17</v>
      </c>
      <c r="B38" s="26">
        <f t="shared" si="3"/>
        <v>82.758620689655174</v>
      </c>
      <c r="C38" s="23">
        <f t="shared" si="4"/>
        <v>5.8</v>
      </c>
    </row>
    <row r="39" spans="1:3" x14ac:dyDescent="0.35">
      <c r="A39" s="21" t="s">
        <v>18</v>
      </c>
      <c r="B39" s="26">
        <f t="shared" si="3"/>
        <v>72.727272727272734</v>
      </c>
      <c r="C39" s="23">
        <f t="shared" si="4"/>
        <v>3.6666666666666665</v>
      </c>
    </row>
    <row r="41" spans="1:3" x14ac:dyDescent="0.35">
      <c r="A41" s="25" t="s">
        <v>23</v>
      </c>
      <c r="B41" s="25"/>
      <c r="C41" s="15">
        <f>M9</f>
        <v>30.083333333333332</v>
      </c>
    </row>
    <row r="42" spans="1:3" x14ac:dyDescent="0.35">
      <c r="A42" s="25" t="s">
        <v>38</v>
      </c>
      <c r="B42" s="25"/>
      <c r="C42" s="15">
        <f>B21</f>
        <v>4.5</v>
      </c>
    </row>
    <row r="43" spans="1:3" x14ac:dyDescent="0.35">
      <c r="A43" s="25" t="s">
        <v>39</v>
      </c>
      <c r="B43" s="25"/>
      <c r="C43" s="15">
        <f>C41/C42</f>
        <v>6.6851851851851851</v>
      </c>
    </row>
  </sheetData>
  <mergeCells count="7">
    <mergeCell ref="A41:B41"/>
    <mergeCell ref="A43:B43"/>
    <mergeCell ref="A42:B42"/>
    <mergeCell ref="A1:M1"/>
    <mergeCell ref="A13:M13"/>
    <mergeCell ref="A23:K23"/>
    <mergeCell ref="A32:F32"/>
  </mergeCells>
  <dataValidations disablePrompts="1" count="1">
    <dataValidation type="list" allowBlank="1" sqref="A3:A9 A15:A21" xr:uid="{783A1768-A046-488C-8D4E-08B172586A30}">
      <formula1>#REF!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6F9EE-64F0-405B-A9AA-CAC7B77A361C}">
  <dimension ref="A1:M9"/>
  <sheetViews>
    <sheetView workbookViewId="0">
      <selection activeCell="A2" sqref="A2:A7"/>
    </sheetView>
  </sheetViews>
  <sheetFormatPr baseColWidth="10" defaultRowHeight="14.5" x14ac:dyDescent="0.35"/>
  <cols>
    <col min="11" max="11" width="8.90625" customWidth="1"/>
    <col min="12" max="12" width="22.54296875" customWidth="1"/>
    <col min="13" max="13" width="25.1796875" customWidth="1"/>
  </cols>
  <sheetData>
    <row r="1" spans="1:13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t="s">
        <v>20</v>
      </c>
    </row>
    <row r="2" spans="1:13" x14ac:dyDescent="0.35">
      <c r="A2" s="20" t="s">
        <v>12</v>
      </c>
      <c r="B2" s="4" t="s">
        <v>16</v>
      </c>
      <c r="C2" s="4" t="s">
        <v>16</v>
      </c>
      <c r="D2" s="4" t="s">
        <v>16</v>
      </c>
      <c r="E2" s="3">
        <v>2</v>
      </c>
      <c r="F2" s="3">
        <v>2</v>
      </c>
      <c r="G2">
        <v>1</v>
      </c>
      <c r="H2">
        <v>2</v>
      </c>
      <c r="I2" s="4" t="s">
        <v>16</v>
      </c>
      <c r="J2" s="4" t="s">
        <v>16</v>
      </c>
      <c r="K2" s="4" t="s">
        <v>16</v>
      </c>
      <c r="L2" s="4" t="s">
        <v>16</v>
      </c>
      <c r="M2" s="6">
        <f>SUM(Tiempos_2[[#This Row],[22/09]:[01/12]])</f>
        <v>7</v>
      </c>
    </row>
    <row r="3" spans="1:13" x14ac:dyDescent="0.35">
      <c r="A3" s="20" t="s">
        <v>13</v>
      </c>
      <c r="B3" s="4" t="s">
        <v>16</v>
      </c>
      <c r="C3" s="4" t="s">
        <v>16</v>
      </c>
      <c r="D3" s="4" t="s">
        <v>16</v>
      </c>
      <c r="E3" s="4" t="s">
        <v>16</v>
      </c>
      <c r="F3" s="3">
        <v>2</v>
      </c>
      <c r="G3">
        <v>2</v>
      </c>
      <c r="H3">
        <v>2</v>
      </c>
      <c r="I3" s="4" t="s">
        <v>16</v>
      </c>
      <c r="J3" s="4" t="s">
        <v>16</v>
      </c>
      <c r="K3" s="4" t="s">
        <v>16</v>
      </c>
      <c r="L3" s="4" t="s">
        <v>16</v>
      </c>
      <c r="M3" s="6">
        <f>SUM(Tiempos_2[[#This Row],[22/09]:[01/12]])</f>
        <v>6</v>
      </c>
    </row>
    <row r="4" spans="1:13" x14ac:dyDescent="0.35">
      <c r="A4" s="20" t="s">
        <v>14</v>
      </c>
      <c r="B4" s="4" t="s">
        <v>16</v>
      </c>
      <c r="C4" s="4" t="s">
        <v>16</v>
      </c>
      <c r="D4" s="4" t="s">
        <v>16</v>
      </c>
      <c r="E4" s="3">
        <v>3</v>
      </c>
      <c r="F4" s="3">
        <v>3</v>
      </c>
      <c r="G4" s="4" t="s">
        <v>16</v>
      </c>
      <c r="H4">
        <v>1</v>
      </c>
      <c r="I4" s="4" t="s">
        <v>16</v>
      </c>
      <c r="J4" s="4" t="s">
        <v>16</v>
      </c>
      <c r="K4" s="4" t="s">
        <v>16</v>
      </c>
      <c r="L4" s="4" t="s">
        <v>16</v>
      </c>
      <c r="M4" s="6">
        <f>SUM(Tiempos_2[[#This Row],[22/09]:[01/12]])</f>
        <v>7</v>
      </c>
    </row>
    <row r="5" spans="1:13" x14ac:dyDescent="0.35">
      <c r="A5" s="20" t="s">
        <v>15</v>
      </c>
      <c r="B5" s="4" t="s">
        <v>16</v>
      </c>
      <c r="C5" s="3">
        <v>3</v>
      </c>
      <c r="D5" s="3">
        <v>2.5</v>
      </c>
      <c r="E5" s="4" t="s">
        <v>16</v>
      </c>
      <c r="F5" s="4" t="s">
        <v>16</v>
      </c>
      <c r="G5" s="3">
        <v>3</v>
      </c>
      <c r="H5">
        <v>1</v>
      </c>
      <c r="I5" s="4" t="s">
        <v>16</v>
      </c>
      <c r="J5" s="4" t="s">
        <v>16</v>
      </c>
      <c r="K5" s="4" t="s">
        <v>16</v>
      </c>
      <c r="L5" s="4" t="s">
        <v>16</v>
      </c>
      <c r="M5" s="6">
        <f>SUM(Tiempos_2[[#This Row],[22/09]:[01/12]])</f>
        <v>9.5</v>
      </c>
    </row>
    <row r="6" spans="1:13" x14ac:dyDescent="0.35">
      <c r="A6" s="20" t="s">
        <v>17</v>
      </c>
      <c r="B6" s="4" t="s">
        <v>16</v>
      </c>
      <c r="C6" s="4" t="s">
        <v>16</v>
      </c>
      <c r="D6" s="4" t="s">
        <v>16</v>
      </c>
      <c r="E6" s="4" t="s">
        <v>16</v>
      </c>
      <c r="F6" s="3">
        <v>6</v>
      </c>
      <c r="G6" s="4" t="s">
        <v>16</v>
      </c>
      <c r="H6">
        <v>2</v>
      </c>
      <c r="I6" s="4" t="s">
        <v>16</v>
      </c>
      <c r="J6" s="4" t="s">
        <v>16</v>
      </c>
      <c r="K6" s="4" t="s">
        <v>16</v>
      </c>
      <c r="L6" s="4" t="s">
        <v>16</v>
      </c>
      <c r="M6" s="6">
        <f>SUM(Tiempos_2[[#This Row],[22/09]:[01/12]])</f>
        <v>8</v>
      </c>
    </row>
    <row r="7" spans="1:13" x14ac:dyDescent="0.35">
      <c r="A7" s="20" t="s">
        <v>18</v>
      </c>
      <c r="B7" s="4" t="s">
        <v>16</v>
      </c>
      <c r="C7" s="4" t="s">
        <v>16</v>
      </c>
      <c r="D7" s="4" t="s">
        <v>16</v>
      </c>
      <c r="E7" s="3">
        <v>2</v>
      </c>
      <c r="F7" s="3">
        <v>4</v>
      </c>
      <c r="G7" s="3">
        <v>9</v>
      </c>
      <c r="H7">
        <v>1</v>
      </c>
      <c r="I7" s="4" t="s">
        <v>16</v>
      </c>
      <c r="J7" s="4" t="s">
        <v>16</v>
      </c>
      <c r="K7" s="4" t="s">
        <v>16</v>
      </c>
      <c r="L7" s="4" t="s">
        <v>16</v>
      </c>
      <c r="M7" s="6">
        <f>SUM(Tiempos_2[[#This Row],[22/09]:[01/12]])</f>
        <v>16</v>
      </c>
    </row>
    <row r="8" spans="1:13" x14ac:dyDescent="0.35">
      <c r="M8" s="7">
        <f>SUM(Tiempos_2[[#This Row],[22/09]:[01/12]])</f>
        <v>0</v>
      </c>
    </row>
    <row r="9" spans="1:13" x14ac:dyDescent="0.35">
      <c r="B9" s="8"/>
      <c r="C9" s="8"/>
      <c r="D9" s="8"/>
      <c r="E9" s="8"/>
      <c r="F9" s="8"/>
      <c r="G9" s="8"/>
      <c r="H9" s="8"/>
      <c r="I9" s="8"/>
      <c r="J9" s="8"/>
      <c r="K9" s="8"/>
      <c r="L9" s="9" t="s">
        <v>21</v>
      </c>
      <c r="M9" s="10">
        <f>AVERAGE(M2:M8)</f>
        <v>7.6428571428571432</v>
      </c>
    </row>
  </sheetData>
  <dataValidations count="1">
    <dataValidation type="list" allowBlank="1" sqref="A2:A9" xr:uid="{03EFABEC-7D33-4C49-A587-08C09411945E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E204D-0B67-410C-8EE1-3A5778E8BBBD}">
  <dimension ref="N3:O4"/>
  <sheetViews>
    <sheetView tabSelected="1" topLeftCell="A8" workbookViewId="0">
      <selection activeCell="K18" sqref="K18"/>
    </sheetView>
  </sheetViews>
  <sheetFormatPr baseColWidth="10" defaultRowHeight="14.5" x14ac:dyDescent="0.35"/>
  <cols>
    <col min="14" max="14" width="20.1796875" customWidth="1"/>
    <col min="15" max="15" width="14.54296875" customWidth="1"/>
  </cols>
  <sheetData>
    <row r="3" spans="14:15" x14ac:dyDescent="0.35">
      <c r="N3" s="13" t="s">
        <v>23</v>
      </c>
      <c r="O3" s="13" t="s">
        <v>26</v>
      </c>
    </row>
    <row r="4" spans="14:15" x14ac:dyDescent="0.35">
      <c r="N4" s="14" t="s">
        <v>24</v>
      </c>
      <c r="O4" s="15">
        <f>'Tiempos ESP32'!M9</f>
        <v>30.083333333333332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382B1-D37A-449B-883E-4C62399BE496}">
  <dimension ref="J1:K2"/>
  <sheetViews>
    <sheetView workbookViewId="0">
      <selection activeCell="J5" sqref="J5"/>
    </sheetView>
  </sheetViews>
  <sheetFormatPr baseColWidth="10" defaultRowHeight="14.5" x14ac:dyDescent="0.35"/>
  <cols>
    <col min="10" max="10" width="22.36328125" customWidth="1"/>
    <col min="11" max="11" width="16.26953125" customWidth="1"/>
  </cols>
  <sheetData>
    <row r="1" spans="10:11" x14ac:dyDescent="0.35">
      <c r="J1" s="13" t="s">
        <v>23</v>
      </c>
      <c r="K1" s="13" t="s">
        <v>26</v>
      </c>
    </row>
    <row r="2" spans="10:11" x14ac:dyDescent="0.35">
      <c r="J2" s="14" t="s">
        <v>25</v>
      </c>
      <c r="K2" s="15">
        <f>'Tiempos Android'!M9</f>
        <v>7.6428571428571432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Tiempos ESP32</vt:lpstr>
      <vt:lpstr>Tiempos Android</vt:lpstr>
      <vt:lpstr>Analisis de tiempos ESP32</vt:lpstr>
      <vt:lpstr>Analisis tiempo Android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.</dc:creator>
  <cp:lastModifiedBy>ESTEBAN CARNUCCIO</cp:lastModifiedBy>
  <dcterms:created xsi:type="dcterms:W3CDTF">2015-06-05T18:19:34Z</dcterms:created>
  <dcterms:modified xsi:type="dcterms:W3CDTF">2026-05-26T01:59:09Z</dcterms:modified>
</cp:coreProperties>
</file>