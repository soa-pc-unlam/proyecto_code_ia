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SOA\Analisis Metricas SOA\"/>
    </mc:Choice>
  </mc:AlternateContent>
  <xr:revisionPtr revIDLastSave="0" documentId="13_ncr:1_{A81028B5-8CC0-4C69-A9B6-6F476EFBF8E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iempos ESP32" sheetId="1" r:id="rId1"/>
    <sheet name="Tiempos Android" sheetId="2" r:id="rId2"/>
    <sheet name="Analisis de tiemp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1" l="1"/>
  <c r="O5" i="4"/>
  <c r="M7" i="2"/>
  <c r="M8" i="2"/>
  <c r="M2" i="2"/>
  <c r="M3" i="2"/>
  <c r="M4" i="2"/>
  <c r="M5" i="2"/>
  <c r="M6" i="2"/>
  <c r="M3" i="1"/>
  <c r="M4" i="1"/>
  <c r="M5" i="1"/>
  <c r="M6" i="1"/>
  <c r="M7" i="1"/>
  <c r="M8" i="1"/>
  <c r="M9" i="1" l="1"/>
  <c r="O4" i="4" s="1"/>
  <c r="M9" i="2"/>
</calcChain>
</file>

<file path=xl/sharedStrings.xml><?xml version="1.0" encoding="utf-8"?>
<sst xmlns="http://schemas.openxmlformats.org/spreadsheetml/2006/main" count="136" uniqueCount="32">
  <si>
    <t>Grupo</t>
  </si>
  <si>
    <t>22/09</t>
  </si>
  <si>
    <t>29/09</t>
  </si>
  <si>
    <t>06/10</t>
  </si>
  <si>
    <t>13/10</t>
  </si>
  <si>
    <t>20/10</t>
  </si>
  <si>
    <t>27/10</t>
  </si>
  <si>
    <t>03/11</t>
  </si>
  <si>
    <t>10/11</t>
  </si>
  <si>
    <t>17/11</t>
  </si>
  <si>
    <t>24/11</t>
  </si>
  <si>
    <t>01/12</t>
  </si>
  <si>
    <t>L1</t>
  </si>
  <si>
    <t>L2</t>
  </si>
  <si>
    <t>M1</t>
  </si>
  <si>
    <t>M2</t>
  </si>
  <si>
    <t>----</t>
  </si>
  <si>
    <t>M4</t>
  </si>
  <si>
    <t>M5</t>
  </si>
  <si>
    <t>Tiempo Total Manual</t>
  </si>
  <si>
    <t>Tiempo Total Manual(horas)</t>
  </si>
  <si>
    <t>Tiempo Promedio (horas)</t>
  </si>
  <si>
    <t>Tiempo Promedio 
(horas)</t>
  </si>
  <si>
    <t>Promedio Manual</t>
  </si>
  <si>
    <t>ESP32</t>
  </si>
  <si>
    <t>Android</t>
  </si>
  <si>
    <t>Tiempo(horas)</t>
  </si>
  <si>
    <t>HORAS DE DESARROLLO MANUAL EN ESP32</t>
  </si>
  <si>
    <t>Tiempo IA</t>
  </si>
  <si>
    <t>más horas en su adaptación en el físico</t>
  </si>
  <si>
    <t>Columna1</t>
  </si>
  <si>
    <t>HORAS DE DESARROLLO IA  EN ESP32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</si>
</sst>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34343"/>
      <name val="Roboto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quotePrefix="1" applyFont="1" applyAlignment="1">
      <alignment horizontal="right" vertical="center"/>
    </xf>
    <xf numFmtId="0" fontId="3" fillId="2" borderId="1" xfId="0" quotePrefix="1" applyFont="1" applyFill="1" applyBorder="1" applyAlignment="1">
      <alignment horizontal="right" vertical="center"/>
    </xf>
    <xf numFmtId="0" fontId="0" fillId="3" borderId="0" xfId="0" applyFill="1"/>
    <xf numFmtId="0" fontId="0" fillId="3" borderId="0" xfId="0" applyNumberFormat="1" applyFill="1"/>
    <xf numFmtId="0" fontId="0" fillId="4" borderId="0" xfId="0" applyFill="1"/>
    <xf numFmtId="0" fontId="1" fillId="4" borderId="0" xfId="0" applyFont="1" applyFill="1"/>
    <xf numFmtId="2" fontId="1" fillId="4" borderId="0" xfId="0" applyNumberFormat="1" applyFont="1" applyFill="1"/>
    <xf numFmtId="2" fontId="0" fillId="4" borderId="0" xfId="0" applyNumberFormat="1" applyFont="1" applyFill="1"/>
    <xf numFmtId="0" fontId="1" fillId="4" borderId="0" xfId="0" applyFont="1" applyFill="1" applyAlignment="1">
      <alignment wrapText="1"/>
    </xf>
    <xf numFmtId="0" fontId="0" fillId="3" borderId="2" xfId="0" applyFill="1" applyBorder="1"/>
    <xf numFmtId="0" fontId="0" fillId="5" borderId="2" xfId="0" applyFill="1" applyBorder="1"/>
    <xf numFmtId="2" fontId="0" fillId="0" borderId="2" xfId="0" applyNumberFormat="1" applyBorder="1"/>
    <xf numFmtId="0" fontId="0" fillId="3" borderId="0" xfId="0" applyFill="1" applyAlignment="1">
      <alignment horizontal="center"/>
    </xf>
  </cellXfs>
  <cellStyles count="1">
    <cellStyle name="Normal" xfId="0" builtinId="0"/>
  </cellStyles>
  <dxfs count="11"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2" defaultPivotStyle="PivotStyleLight16">
    <tableStyle name="Tiempos Android-style" pivot="0" count="4" xr9:uid="{618F15E6-BBA1-4549-8A57-6A50A508DFF3}">
      <tableStyleElement type="wholeTable" size="0" dxfId="10"/>
      <tableStyleElement type="headerRow" dxfId="9"/>
      <tableStyleElement type="firstRowStripe" dxfId="8"/>
      <tableStyleElement type="secondRowStripe" dxfId="7"/>
    </tableStyle>
    <tableStyle name="Tiempos ESP-style" pivot="0" count="4" xr9:uid="{7F490106-DF75-423B-A009-86B91BF302F6}">
      <tableStyleElement type="wholeTable" size="0" dxfId="6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Manual ESP32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487270341207349"/>
          <c:y val="0.18969925634295715"/>
          <c:w val="0.56981627296587922"/>
          <c:h val="0.6057483960338291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'Tiempos ESP32'!$M$2</c:f>
              <c:strCache>
                <c:ptCount val="1"/>
                <c:pt idx="0">
                  <c:v>Tiempo Total Manual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C70-4459-ABA0-54568D7B95C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6C70-4459-ABA0-54568D7B95C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C70-4459-ABA0-54568D7B95C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6C70-4459-ABA0-54568D7B95C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C70-4459-ABA0-54568D7B95C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6C70-4459-ABA0-54568D7B95CD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C70-4459-ABA0-54568D7B95CD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C70-4459-ABA0-54568D7B95CD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70-4459-ABA0-54568D7B95CD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70-4459-ABA0-54568D7B95CD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70-4459-ABA0-54568D7B95CD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70-4459-ABA0-54568D7B95C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'Tiempos ESP32'!$A$3:$A$8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'Tiempos ESP32'!$M$3:$M$8</c:f>
              <c:numCache>
                <c:formatCode>General</c:formatCode>
                <c:ptCount val="6"/>
                <c:pt idx="0">
                  <c:v>28.5</c:v>
                </c:pt>
                <c:pt idx="1">
                  <c:v>25</c:v>
                </c:pt>
                <c:pt idx="2">
                  <c:v>41</c:v>
                </c:pt>
                <c:pt idx="3">
                  <c:v>35</c:v>
                </c:pt>
                <c:pt idx="4">
                  <c:v>29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70-4459-ABA0-54568D7B9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3693440"/>
        <c:axId val="1932362736"/>
      </c:barChart>
      <c:catAx>
        <c:axId val="186369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Nombre del Grupo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32362736"/>
        <c:crosses val="autoZero"/>
        <c:auto val="1"/>
        <c:lblAlgn val="ctr"/>
        <c:lblOffset val="100"/>
        <c:noMultiLvlLbl val="0"/>
      </c:catAx>
      <c:valAx>
        <c:axId val="1932362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</a:t>
                </a:r>
                <a:r>
                  <a:rPr lang="es-AR" baseline="0"/>
                  <a:t>idad de horas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3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Tiempo Manual</a:t>
            </a:r>
            <a:r>
              <a:rPr lang="es-AR" baseline="0"/>
              <a:t> </a:t>
            </a:r>
            <a:r>
              <a:rPr lang="es-AR"/>
              <a:t>Android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487270341207349"/>
          <c:y val="0.18969925634295715"/>
          <c:w val="0.56981627296587922"/>
          <c:h val="0.6057483960338291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'Tiempos Android'!$M$1</c:f>
              <c:strCache>
                <c:ptCount val="1"/>
                <c:pt idx="0">
                  <c:v>Tiempo Total Manual(horas)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72-4033-8972-83ACD8272B6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72-4033-8972-83ACD8272B6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72-4033-8972-83ACD8272B6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72-4033-8972-83ACD8272B6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72-4033-8972-83ACD8272B6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72-4033-8972-83ACD8272B6B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172-4033-8972-83ACD8272B6B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172-4033-8972-83ACD8272B6B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172-4033-8972-83ACD8272B6B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172-4033-8972-83ACD8272B6B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172-4033-8972-83ACD8272B6B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172-4033-8972-83ACD8272B6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'Tiempos ESP32'!$A$3:$A$8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'Tiempos Android'!$M$2:$M$7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7</c:v>
                </c:pt>
                <c:pt idx="3">
                  <c:v>9.5</c:v>
                </c:pt>
                <c:pt idx="4">
                  <c:v>8</c:v>
                </c:pt>
                <c:pt idx="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172-4033-8972-83ACD8272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3693440"/>
        <c:axId val="1932362736"/>
      </c:barChart>
      <c:catAx>
        <c:axId val="186369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Nombre del Grupo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32362736"/>
        <c:crosses val="autoZero"/>
        <c:auto val="1"/>
        <c:lblAlgn val="ctr"/>
        <c:lblOffset val="100"/>
        <c:noMultiLvlLbl val="0"/>
      </c:catAx>
      <c:valAx>
        <c:axId val="1932362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</a:t>
                </a:r>
                <a:r>
                  <a:rPr lang="es-AR" baseline="0"/>
                  <a:t>idad de horas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3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44450</xdr:rowOff>
    </xdr:from>
    <xdr:to>
      <xdr:col>6</xdr:col>
      <xdr:colOff>0</xdr:colOff>
      <xdr:row>17</xdr:row>
      <xdr:rowOff>25400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2694738-31C9-4D4A-8FFD-69227ED61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304800</xdr:colOff>
      <xdr:row>2</xdr:row>
      <xdr:rowOff>50800</xdr:rowOff>
    </xdr:from>
    <xdr:to>
      <xdr:col>12</xdr:col>
      <xdr:colOff>304800</xdr:colOff>
      <xdr:row>17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A2918A5-EEF8-4510-ACC0-7074AFAB1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2C890-BAE8-417C-BA10-7BFE72224099}" name="Tiempos" displayName="Tiempos" ref="A2:M9">
  <tableColumns count="13">
    <tableColumn id="1" xr3:uid="{82DA2725-6ECD-4A2F-9D03-DE57049BC492}" name="Grupo"/>
    <tableColumn id="2" xr3:uid="{3B90950D-FBBE-4A15-BA4D-B9EF86F9F588}" name="22/09"/>
    <tableColumn id="3" xr3:uid="{E72CEABC-0079-4DD2-917E-D7C51FF33CAC}" name="29/09"/>
    <tableColumn id="4" xr3:uid="{8661B6DF-B9C7-4774-AAE2-345607F0FD53}" name="06/10"/>
    <tableColumn id="5" xr3:uid="{5FE047F6-68B0-4371-A717-200A5D8952B5}" name="13/10"/>
    <tableColumn id="6" xr3:uid="{83D63B81-9AB7-4B74-8C6F-C15C9C12454D}" name="20/10"/>
    <tableColumn id="7" xr3:uid="{4B029240-18BA-44E2-805F-9B4DB4B57D8E}" name="27/10"/>
    <tableColumn id="8" xr3:uid="{12CAAC9C-5F4C-4924-842D-F65272728402}" name="03/11"/>
    <tableColumn id="9" xr3:uid="{ACF583F8-8290-46F9-819B-521351E0CB06}" name="10/11"/>
    <tableColumn id="10" xr3:uid="{811EA9F2-D897-45B1-ADEA-A3D93FC85693}" name="17/11"/>
    <tableColumn id="11" xr3:uid="{97F456A4-34EC-4C27-B86E-88CB8C570B75}" name="24/11"/>
    <tableColumn id="12" xr3:uid="{B8911BF9-EC35-4DB0-963A-8F7DB66E4059}" name="01/12"/>
    <tableColumn id="14" xr3:uid="{2424B525-EE0B-4234-8F90-31A6CC2DD879}" name="Tiempo Total Manual" dataDxfId="2">
      <calculatedColumnFormula>SUM(Tiempos[[#This Row],[22/09]:[01/12]])</calculatedColumnFormula>
    </tableColumn>
  </tableColumns>
  <tableStyleInfo name="Tiempos ESP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F4B596-0A9E-43D8-A65E-A12A72EC39D2}" name="Tiempos3" displayName="Tiempos3" ref="A14:C21">
  <tableColumns count="3">
    <tableColumn id="1" xr3:uid="{184B6E68-4FB0-4D10-9A43-E1FEDD51F671}" name="Grupo"/>
    <tableColumn id="14" xr3:uid="{3696D67E-E09F-426F-AF17-8E62BFA7287F}" name="Tiempo IA" dataDxfId="1">
      <calculatedColumnFormula>SUM(#REF!)</calculatedColumnFormula>
    </tableColumn>
    <tableColumn id="2" xr3:uid="{F4046228-AD0C-407E-8FC1-AB9230648619}" name="Columna1"/>
  </tableColumns>
  <tableStyleInfo name="Tiempos ES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DAE96F-C277-4A12-89AB-15AA00102E25}" name="Tiempos_2" displayName="Tiempos_2" ref="A1:M9">
  <tableColumns count="13">
    <tableColumn id="1" xr3:uid="{21C1E249-7D92-4614-9274-ADF2D1E94A55}" name="Grupo"/>
    <tableColumn id="2" xr3:uid="{7D0F17B7-605B-4CDE-9EF2-13C1FCEF7A64}" name="22/09"/>
    <tableColumn id="3" xr3:uid="{D9B1BCDB-63C2-4BF0-A89F-983E5CCD00D4}" name="29/09"/>
    <tableColumn id="4" xr3:uid="{EEA68839-A5C0-4D9C-B7F8-FB80562F0377}" name="06/10"/>
    <tableColumn id="5" xr3:uid="{CB91215E-7687-4CF2-A0FB-E0F4EFC64613}" name="13/10"/>
    <tableColumn id="6" xr3:uid="{4C1BC287-E49E-4B7A-826A-9F6621E79180}" name="20/10"/>
    <tableColumn id="7" xr3:uid="{9BA6415F-8548-40D9-BB87-AD92F75133A4}" name="27/10"/>
    <tableColumn id="8" xr3:uid="{25A84BEF-F8B1-40CB-A899-36A1A87E517D}" name="03/11"/>
    <tableColumn id="9" xr3:uid="{C26CF353-3F62-428D-819F-4213B7F4D7E6}" name="10/11"/>
    <tableColumn id="10" xr3:uid="{397BF2FD-AE01-45C1-977B-995F1C75E070}" name="17/11"/>
    <tableColumn id="11" xr3:uid="{FB7B2E36-6D49-405D-B94E-7C832BE98441}" name="24/11"/>
    <tableColumn id="12" xr3:uid="{85ADDB57-24BE-4606-BDB6-A206FC54D694}" name="01/12"/>
    <tableColumn id="13" xr3:uid="{DED497EC-C977-403A-91BE-2E91E268300B}" name="Tiempo Total Manual(horas)" dataDxfId="0">
      <calculatedColumnFormula>SUM(Tiempos_2[[#This Row],[22/09]:[01/12]])</calculatedColumnFormula>
    </tableColumn>
  </tableColumns>
  <tableStyleInfo name="Tiempos Android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tabSelected="1" workbookViewId="0">
      <selection activeCell="A13" sqref="A13:M13"/>
    </sheetView>
  </sheetViews>
  <sheetFormatPr baseColWidth="10" defaultColWidth="8.7265625" defaultRowHeight="14.5" x14ac:dyDescent="0.35"/>
  <cols>
    <col min="12" max="12" width="17.453125" customWidth="1"/>
    <col min="13" max="13" width="18.6328125" customWidth="1"/>
  </cols>
  <sheetData>
    <row r="1" spans="1:13" x14ac:dyDescent="0.35">
      <c r="A1" s="16" t="s">
        <v>27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x14ac:dyDescent="0.3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t="s">
        <v>19</v>
      </c>
    </row>
    <row r="3" spans="1:13" x14ac:dyDescent="0.35">
      <c r="A3" s="3" t="s">
        <v>12</v>
      </c>
      <c r="B3" s="3">
        <v>8</v>
      </c>
      <c r="C3" s="3">
        <v>4</v>
      </c>
      <c r="D3" s="3">
        <v>3.5</v>
      </c>
      <c r="E3" s="3">
        <v>10</v>
      </c>
      <c r="F3" s="3">
        <v>3</v>
      </c>
      <c r="H3" s="4" t="s">
        <v>16</v>
      </c>
      <c r="I3" s="4" t="s">
        <v>16</v>
      </c>
      <c r="J3" s="4" t="s">
        <v>16</v>
      </c>
      <c r="K3" s="4" t="s">
        <v>16</v>
      </c>
      <c r="L3" s="4" t="s">
        <v>16</v>
      </c>
      <c r="M3" s="6">
        <f>SUM(Tiempos[[#This Row],[22/09]:[01/12]])</f>
        <v>28.5</v>
      </c>
    </row>
    <row r="4" spans="1:13" x14ac:dyDescent="0.35">
      <c r="A4" s="3" t="s">
        <v>13</v>
      </c>
      <c r="B4" s="3">
        <v>9</v>
      </c>
      <c r="C4" s="3">
        <v>3</v>
      </c>
      <c r="D4" s="3">
        <v>1</v>
      </c>
      <c r="E4" s="3">
        <v>8</v>
      </c>
      <c r="F4" s="3">
        <v>4</v>
      </c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6">
        <f>SUM(Tiempos[[#This Row],[22/09]:[01/12]])</f>
        <v>25</v>
      </c>
    </row>
    <row r="5" spans="1:13" x14ac:dyDescent="0.35">
      <c r="A5" s="3" t="s">
        <v>14</v>
      </c>
      <c r="B5" s="3">
        <v>6</v>
      </c>
      <c r="C5" s="3">
        <v>22</v>
      </c>
      <c r="D5" s="3">
        <v>2</v>
      </c>
      <c r="E5" s="3">
        <v>4</v>
      </c>
      <c r="F5" s="3">
        <v>6</v>
      </c>
      <c r="G5" s="3">
        <v>1</v>
      </c>
      <c r="H5" s="4" t="s">
        <v>16</v>
      </c>
      <c r="I5" s="4" t="s">
        <v>16</v>
      </c>
      <c r="J5" s="4" t="s">
        <v>16</v>
      </c>
      <c r="K5" s="4" t="s">
        <v>16</v>
      </c>
      <c r="L5" s="4" t="s">
        <v>16</v>
      </c>
      <c r="M5" s="6">
        <f>SUM(Tiempos[[#This Row],[22/09]:[01/12]])</f>
        <v>41</v>
      </c>
    </row>
    <row r="6" spans="1:13" x14ac:dyDescent="0.35">
      <c r="A6" s="3" t="s">
        <v>15</v>
      </c>
      <c r="B6" s="3">
        <v>13</v>
      </c>
      <c r="C6" s="3">
        <v>3</v>
      </c>
      <c r="D6" s="3">
        <v>9</v>
      </c>
      <c r="E6" s="4" t="s">
        <v>16</v>
      </c>
      <c r="F6" s="3">
        <v>6</v>
      </c>
      <c r="G6" s="3">
        <v>4</v>
      </c>
      <c r="H6" s="4" t="s">
        <v>16</v>
      </c>
      <c r="I6" s="4" t="s">
        <v>16</v>
      </c>
      <c r="J6" s="4" t="s">
        <v>16</v>
      </c>
      <c r="K6" s="4" t="s">
        <v>16</v>
      </c>
      <c r="L6" s="4" t="s">
        <v>16</v>
      </c>
      <c r="M6" s="6">
        <f>SUM(Tiempos[[#This Row],[22/09]:[01/12]])</f>
        <v>35</v>
      </c>
    </row>
    <row r="7" spans="1:13" x14ac:dyDescent="0.35">
      <c r="A7" s="3" t="s">
        <v>17</v>
      </c>
      <c r="B7" s="3">
        <v>12</v>
      </c>
      <c r="C7" s="3">
        <v>2</v>
      </c>
      <c r="D7" s="3">
        <v>5</v>
      </c>
      <c r="E7" s="3">
        <v>8</v>
      </c>
      <c r="F7" s="3">
        <v>2</v>
      </c>
      <c r="G7" s="4" t="s">
        <v>16</v>
      </c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6">
        <f>SUM(Tiempos[[#This Row],[22/09]:[01/12]])</f>
        <v>29</v>
      </c>
    </row>
    <row r="8" spans="1:13" x14ac:dyDescent="0.35">
      <c r="A8" s="3" t="s">
        <v>18</v>
      </c>
      <c r="B8" s="3">
        <v>15</v>
      </c>
      <c r="C8" s="3">
        <v>3</v>
      </c>
      <c r="D8" s="3">
        <v>2</v>
      </c>
      <c r="E8" s="3">
        <v>2</v>
      </c>
      <c r="F8" s="4" t="s">
        <v>16</v>
      </c>
      <c r="G8" s="5" t="s">
        <v>16</v>
      </c>
      <c r="H8" s="4" t="s">
        <v>16</v>
      </c>
      <c r="I8" s="4" t="s">
        <v>16</v>
      </c>
      <c r="J8" s="4" t="s">
        <v>16</v>
      </c>
      <c r="K8" s="4" t="s">
        <v>16</v>
      </c>
      <c r="L8" s="4" t="s">
        <v>16</v>
      </c>
      <c r="M8" s="6">
        <f>SUM(Tiempos[[#This Row],[22/09]:[01/12]])</f>
        <v>22</v>
      </c>
    </row>
    <row r="9" spans="1:13" ht="29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9"/>
      <c r="L9" s="12" t="s">
        <v>22</v>
      </c>
      <c r="M9" s="11">
        <f>AVERAGE(M2:M8)</f>
        <v>30.083333333333332</v>
      </c>
    </row>
    <row r="13" spans="1:13" x14ac:dyDescent="0.35">
      <c r="A13" s="16" t="s">
        <v>31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4" spans="1:13" x14ac:dyDescent="0.35">
      <c r="A14" s="1" t="s">
        <v>0</v>
      </c>
      <c r="B14" t="s">
        <v>28</v>
      </c>
      <c r="C14" t="s">
        <v>30</v>
      </c>
    </row>
    <row r="15" spans="1:13" x14ac:dyDescent="0.35">
      <c r="A15" s="3" t="s">
        <v>12</v>
      </c>
      <c r="B15" s="6">
        <v>2</v>
      </c>
    </row>
    <row r="16" spans="1:13" x14ac:dyDescent="0.35">
      <c r="A16" s="3" t="s">
        <v>13</v>
      </c>
      <c r="B16" s="6">
        <v>5</v>
      </c>
    </row>
    <row r="17" spans="1:3" x14ac:dyDescent="0.35">
      <c r="A17" s="3" t="s">
        <v>14</v>
      </c>
      <c r="B17" s="6">
        <v>6</v>
      </c>
    </row>
    <row r="18" spans="1:3" x14ac:dyDescent="0.35">
      <c r="A18" s="3" t="s">
        <v>15</v>
      </c>
      <c r="B18" s="6">
        <v>3</v>
      </c>
    </row>
    <row r="19" spans="1:3" x14ac:dyDescent="0.35">
      <c r="A19" s="3" t="s">
        <v>17</v>
      </c>
      <c r="B19" s="6">
        <v>5</v>
      </c>
    </row>
    <row r="20" spans="1:3" x14ac:dyDescent="0.35">
      <c r="A20" s="3" t="s">
        <v>18</v>
      </c>
      <c r="B20" s="6">
        <v>6</v>
      </c>
      <c r="C20" t="s">
        <v>29</v>
      </c>
    </row>
    <row r="21" spans="1:3" x14ac:dyDescent="0.35">
      <c r="A21" s="8"/>
      <c r="B21" s="11">
        <f>AVERAGE(B14:B20)</f>
        <v>4.5</v>
      </c>
    </row>
  </sheetData>
  <mergeCells count="2">
    <mergeCell ref="A1:M1"/>
    <mergeCell ref="A13:M13"/>
  </mergeCells>
  <dataValidations count="1">
    <dataValidation type="list" allowBlank="1" sqref="A3:A9 A15:A21" xr:uid="{783A1768-A046-488C-8D4E-08B172586A30}">
      <formula1>#REF!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6F9EE-64F0-405B-A9AA-CAC7B77A361C}">
  <dimension ref="A1:M9"/>
  <sheetViews>
    <sheetView workbookViewId="0">
      <selection activeCell="E20" sqref="E19:E20"/>
    </sheetView>
  </sheetViews>
  <sheetFormatPr baseColWidth="10" defaultRowHeight="14.5" x14ac:dyDescent="0.35"/>
  <cols>
    <col min="11" max="11" width="8.90625" customWidth="1"/>
    <col min="12" max="12" width="22.54296875" customWidth="1"/>
    <col min="13" max="13" width="25.1796875" customWidth="1"/>
  </cols>
  <sheetData>
    <row r="1" spans="1:13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t="s">
        <v>20</v>
      </c>
    </row>
    <row r="2" spans="1:13" x14ac:dyDescent="0.35">
      <c r="A2" s="3" t="s">
        <v>12</v>
      </c>
      <c r="B2" s="4" t="s">
        <v>16</v>
      </c>
      <c r="C2" s="4" t="s">
        <v>16</v>
      </c>
      <c r="D2" s="4" t="s">
        <v>16</v>
      </c>
      <c r="E2" s="3">
        <v>2</v>
      </c>
      <c r="F2" s="3">
        <v>2</v>
      </c>
      <c r="G2">
        <v>1</v>
      </c>
      <c r="H2">
        <v>2</v>
      </c>
      <c r="I2" s="4" t="s">
        <v>16</v>
      </c>
      <c r="J2" s="4" t="s">
        <v>16</v>
      </c>
      <c r="K2" s="4" t="s">
        <v>16</v>
      </c>
      <c r="L2" s="4" t="s">
        <v>16</v>
      </c>
      <c r="M2" s="6">
        <f>SUM(Tiempos_2[[#This Row],[22/09]:[01/12]])</f>
        <v>7</v>
      </c>
    </row>
    <row r="3" spans="1:13" x14ac:dyDescent="0.35">
      <c r="A3" s="3" t="s">
        <v>13</v>
      </c>
      <c r="B3" s="4" t="s">
        <v>16</v>
      </c>
      <c r="C3" s="4" t="s">
        <v>16</v>
      </c>
      <c r="D3" s="4" t="s">
        <v>16</v>
      </c>
      <c r="E3" s="4" t="s">
        <v>16</v>
      </c>
      <c r="F3" s="3">
        <v>2</v>
      </c>
      <c r="G3">
        <v>2</v>
      </c>
      <c r="H3">
        <v>2</v>
      </c>
      <c r="I3" s="4" t="s">
        <v>16</v>
      </c>
      <c r="J3" s="4" t="s">
        <v>16</v>
      </c>
      <c r="K3" s="4" t="s">
        <v>16</v>
      </c>
      <c r="L3" s="4" t="s">
        <v>16</v>
      </c>
      <c r="M3" s="6">
        <f>SUM(Tiempos_2[[#This Row],[22/09]:[01/12]])</f>
        <v>6</v>
      </c>
    </row>
    <row r="4" spans="1:13" x14ac:dyDescent="0.35">
      <c r="A4" s="3" t="s">
        <v>14</v>
      </c>
      <c r="B4" s="4" t="s">
        <v>16</v>
      </c>
      <c r="C4" s="4" t="s">
        <v>16</v>
      </c>
      <c r="D4" s="4" t="s">
        <v>16</v>
      </c>
      <c r="E4" s="3">
        <v>3</v>
      </c>
      <c r="F4" s="3">
        <v>3</v>
      </c>
      <c r="G4" s="4" t="s">
        <v>16</v>
      </c>
      <c r="H4">
        <v>1</v>
      </c>
      <c r="I4" s="4" t="s">
        <v>16</v>
      </c>
      <c r="J4" s="4" t="s">
        <v>16</v>
      </c>
      <c r="K4" s="4" t="s">
        <v>16</v>
      </c>
      <c r="L4" s="4" t="s">
        <v>16</v>
      </c>
      <c r="M4" s="6">
        <f>SUM(Tiempos_2[[#This Row],[22/09]:[01/12]])</f>
        <v>7</v>
      </c>
    </row>
    <row r="5" spans="1:13" x14ac:dyDescent="0.35">
      <c r="A5" s="3" t="s">
        <v>15</v>
      </c>
      <c r="B5" s="4" t="s">
        <v>16</v>
      </c>
      <c r="C5" s="3">
        <v>3</v>
      </c>
      <c r="D5" s="3">
        <v>2.5</v>
      </c>
      <c r="E5" s="4" t="s">
        <v>16</v>
      </c>
      <c r="F5" s="4" t="s">
        <v>16</v>
      </c>
      <c r="G5" s="3">
        <v>3</v>
      </c>
      <c r="H5">
        <v>1</v>
      </c>
      <c r="I5" s="4" t="s">
        <v>16</v>
      </c>
      <c r="J5" s="4" t="s">
        <v>16</v>
      </c>
      <c r="K5" s="4" t="s">
        <v>16</v>
      </c>
      <c r="L5" s="4" t="s">
        <v>16</v>
      </c>
      <c r="M5" s="6">
        <f>SUM(Tiempos_2[[#This Row],[22/09]:[01/12]])</f>
        <v>9.5</v>
      </c>
    </row>
    <row r="6" spans="1:13" x14ac:dyDescent="0.35">
      <c r="A6" s="3" t="s">
        <v>17</v>
      </c>
      <c r="B6" s="4" t="s">
        <v>16</v>
      </c>
      <c r="C6" s="4" t="s">
        <v>16</v>
      </c>
      <c r="D6" s="4" t="s">
        <v>16</v>
      </c>
      <c r="E6" s="4" t="s">
        <v>16</v>
      </c>
      <c r="F6" s="3">
        <v>6</v>
      </c>
      <c r="G6" s="4" t="s">
        <v>16</v>
      </c>
      <c r="H6">
        <v>2</v>
      </c>
      <c r="I6" s="4" t="s">
        <v>16</v>
      </c>
      <c r="J6" s="4" t="s">
        <v>16</v>
      </c>
      <c r="K6" s="4" t="s">
        <v>16</v>
      </c>
      <c r="L6" s="4" t="s">
        <v>16</v>
      </c>
      <c r="M6" s="6">
        <f>SUM(Tiempos_2[[#This Row],[22/09]:[01/12]])</f>
        <v>8</v>
      </c>
    </row>
    <row r="7" spans="1:13" x14ac:dyDescent="0.35">
      <c r="A7" s="3" t="s">
        <v>18</v>
      </c>
      <c r="B7" s="4" t="s">
        <v>16</v>
      </c>
      <c r="C7" s="4" t="s">
        <v>16</v>
      </c>
      <c r="D7" s="4" t="s">
        <v>16</v>
      </c>
      <c r="E7" s="3">
        <v>2</v>
      </c>
      <c r="F7" s="3">
        <v>4</v>
      </c>
      <c r="G7" s="3">
        <v>9</v>
      </c>
      <c r="H7">
        <v>1</v>
      </c>
      <c r="I7" s="4" t="s">
        <v>16</v>
      </c>
      <c r="J7" s="4" t="s">
        <v>16</v>
      </c>
      <c r="K7" s="4" t="s">
        <v>16</v>
      </c>
      <c r="L7" s="4" t="s">
        <v>16</v>
      </c>
      <c r="M7" s="6">
        <f>SUM(Tiempos_2[[#This Row],[22/09]:[01/12]])</f>
        <v>16</v>
      </c>
    </row>
    <row r="8" spans="1:13" x14ac:dyDescent="0.35">
      <c r="M8" s="7">
        <f>SUM(Tiempos_2[[#This Row],[22/09]:[01/12]])</f>
        <v>0</v>
      </c>
    </row>
    <row r="9" spans="1:13" x14ac:dyDescent="0.35">
      <c r="B9" s="8"/>
      <c r="C9" s="8"/>
      <c r="D9" s="8"/>
      <c r="E9" s="8"/>
      <c r="F9" s="8"/>
      <c r="G9" s="8"/>
      <c r="H9" s="8"/>
      <c r="I9" s="8"/>
      <c r="J9" s="8"/>
      <c r="K9" s="8"/>
      <c r="L9" s="9" t="s">
        <v>21</v>
      </c>
      <c r="M9" s="10">
        <f>AVERAGE(M2:M8)</f>
        <v>7.6428571428571432</v>
      </c>
    </row>
  </sheetData>
  <dataValidations disablePrompts="1" count="1">
    <dataValidation type="list" allowBlank="1" sqref="A2:A9" xr:uid="{03EFABEC-7D33-4C49-A587-08C09411945E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E204D-0B67-410C-8EE1-3A5778E8BBBD}">
  <dimension ref="N3:O5"/>
  <sheetViews>
    <sheetView workbookViewId="0">
      <selection activeCell="A19" sqref="A19"/>
    </sheetView>
  </sheetViews>
  <sheetFormatPr baseColWidth="10" defaultRowHeight="14.5" x14ac:dyDescent="0.35"/>
  <cols>
    <col min="14" max="14" width="20.1796875" customWidth="1"/>
    <col min="15" max="15" width="14.54296875" customWidth="1"/>
  </cols>
  <sheetData>
    <row r="3" spans="14:15" x14ac:dyDescent="0.35">
      <c r="N3" s="13" t="s">
        <v>23</v>
      </c>
      <c r="O3" s="13" t="s">
        <v>26</v>
      </c>
    </row>
    <row r="4" spans="14:15" x14ac:dyDescent="0.35">
      <c r="N4" s="14" t="s">
        <v>24</v>
      </c>
      <c r="O4" s="15">
        <f>'Tiempos ESP32'!M9</f>
        <v>30.083333333333332</v>
      </c>
    </row>
    <row r="5" spans="14:15" x14ac:dyDescent="0.35">
      <c r="N5" s="14" t="s">
        <v>25</v>
      </c>
      <c r="O5" s="15">
        <f>'Tiempos Android'!M9</f>
        <v>7.6428571428571432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Tiempos ESP32</vt:lpstr>
      <vt:lpstr>Tiempos Android</vt:lpstr>
      <vt:lpstr>Analisis de tiempos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.</dc:creator>
  <cp:lastModifiedBy>ESTEBAN CARNUCCIO</cp:lastModifiedBy>
  <dcterms:created xsi:type="dcterms:W3CDTF">2015-06-05T18:19:34Z</dcterms:created>
  <dcterms:modified xsi:type="dcterms:W3CDTF">2026-05-22T23:47:57Z</dcterms:modified>
</cp:coreProperties>
</file>