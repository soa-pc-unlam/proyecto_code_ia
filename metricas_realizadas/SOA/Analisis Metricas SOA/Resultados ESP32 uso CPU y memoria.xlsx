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proyecto_code_ia\metricas_realizadas\SOA\Analisis Metricas SOA\"/>
    </mc:Choice>
  </mc:AlternateContent>
  <xr:revisionPtr revIDLastSave="0" documentId="13_ncr:1_{6D0682A9-6EA7-4B84-9360-D97EF3D1B00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ESP32 CPU (2)" sheetId="5" r:id="rId1"/>
    <sheet name="ESP32 Memoria" sheetId="1" r:id="rId2"/>
    <sheet name="Analisis de tiempos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5" i="4" l="1"/>
  <c r="O4" i="4" l="1"/>
</calcChain>
</file>

<file path=xl/sharedStrings.xml><?xml version="1.0" encoding="utf-8"?>
<sst xmlns="http://schemas.openxmlformats.org/spreadsheetml/2006/main" count="146" uniqueCount="95">
  <si>
    <t>Grupo</t>
  </si>
  <si>
    <t>L1</t>
  </si>
  <si>
    <t>L2</t>
  </si>
  <si>
    <t>M1</t>
  </si>
  <si>
    <t>M2</t>
  </si>
  <si>
    <t>M4</t>
  </si>
  <si>
    <t>M5</t>
  </si>
  <si>
    <t>Promedio Manual</t>
  </si>
  <si>
    <t>ESP32</t>
  </si>
  <si>
    <t>Android</t>
  </si>
  <si>
    <t>Tiempo(horas)</t>
  </si>
  <si>
    <t>Descripcion de la acción</t>
  </si>
  <si>
    <t>Mover servo</t>
  </si>
  <si>
    <t>Acción CORE 1</t>
  </si>
  <si>
    <t>Resposo CORE 1</t>
  </si>
  <si>
    <t>Resposo CORE 0</t>
  </si>
  <si>
    <t>Acción CORE 0</t>
  </si>
  <si>
    <t>4,37</t>
  </si>
  <si>
    <t>7,19</t>
  </si>
  <si>
    <t>4,33</t>
  </si>
  <si>
    <t>3,51</t>
  </si>
  <si>
    <t>Porcentaje de uso de CPU % (CON VIBECODING)</t>
  </si>
  <si>
    <t>Porcentaje de uso de CPU % (SIN VIBECODING)</t>
  </si>
  <si>
    <t>3,61</t>
  </si>
  <si>
    <t>9,88</t>
  </si>
  <si>
    <t>5,01</t>
  </si>
  <si>
    <t>11,2</t>
  </si>
  <si>
    <t>Porcentaje de uso de Memoria % (SIN VIBECODING)</t>
  </si>
  <si>
    <t>Porcentaje de uso de Memoria % (CON VIBECODING)</t>
  </si>
  <si>
    <t>40,67</t>
  </si>
  <si>
    <t>39,67</t>
  </si>
  <si>
    <t>18,92</t>
  </si>
  <si>
    <t>17,43</t>
  </si>
  <si>
    <t>2,56</t>
  </si>
  <si>
    <t>3,75</t>
  </si>
  <si>
    <t>13,40</t>
  </si>
  <si>
    <t>Reproducir musica cuadratica</t>
  </si>
  <si>
    <t>8,27</t>
  </si>
  <si>
    <t>7,98</t>
  </si>
  <si>
    <t>1,74</t>
  </si>
  <si>
    <t>35,18</t>
  </si>
  <si>
    <t>33,78</t>
  </si>
  <si>
    <t>41,04</t>
  </si>
  <si>
    <t>43,73</t>
  </si>
  <si>
    <t>3,39</t>
  </si>
  <si>
    <t>60,99</t>
  </si>
  <si>
    <t>30 segundos despues de iniciar viaje</t>
  </si>
  <si>
    <t>2,02</t>
  </si>
  <si>
    <t>89,79</t>
  </si>
  <si>
    <t>3,99</t>
  </si>
  <si>
    <t>3,34</t>
  </si>
  <si>
    <t>6,22</t>
  </si>
  <si>
    <t>4,85</t>
  </si>
  <si>
    <t>38,69</t>
  </si>
  <si>
    <t>37,36</t>
  </si>
  <si>
    <t>38,83</t>
  </si>
  <si>
    <t>37,86</t>
  </si>
  <si>
    <t>4,32</t>
  </si>
  <si>
    <t>5,23</t>
  </si>
  <si>
    <t>2,26</t>
  </si>
  <si>
    <t>6,28</t>
  </si>
  <si>
    <t>midiendo consumo de agua</t>
  </si>
  <si>
    <t>42,77</t>
  </si>
  <si>
    <t>midiendo consumo del agua</t>
  </si>
  <si>
    <t>38,39</t>
  </si>
  <si>
    <t>43,04</t>
  </si>
  <si>
    <t>39,32</t>
  </si>
  <si>
    <t>18,35</t>
  </si>
  <si>
    <t>17,56</t>
  </si>
  <si>
    <t>30,51</t>
  </si>
  <si>
    <t>25,01</t>
  </si>
  <si>
    <t>28,91</t>
  </si>
  <si>
    <t>proceso de llenado de reservorio</t>
  </si>
  <si>
    <t>17,68</t>
  </si>
  <si>
    <t>31,90</t>
  </si>
  <si>
    <t>29,88</t>
  </si>
  <si>
    <t>21,58</t>
  </si>
  <si>
    <t>36,48</t>
  </si>
  <si>
    <t>4,24</t>
  </si>
  <si>
    <t>5,21</t>
  </si>
  <si>
    <t>2,17</t>
  </si>
  <si>
    <t>6,20</t>
  </si>
  <si>
    <t>6,50</t>
  </si>
  <si>
    <t>5,37</t>
  </si>
  <si>
    <t>36,59</t>
  </si>
  <si>
    <t>36,81</t>
  </si>
  <si>
    <t>mover cinta por timeout</t>
  </si>
  <si>
    <t>37,45</t>
  </si>
  <si>
    <t>37,34</t>
  </si>
  <si>
    <t>2,85</t>
  </si>
  <si>
    <t>0,36</t>
  </si>
  <si>
    <t>83,41</t>
  </si>
  <si>
    <t>4,84</t>
  </si>
  <si>
    <t>6,59</t>
  </si>
  <si>
    <t>35,39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</si>
</sst>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/mm"/>
  </numFmts>
  <fonts count="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0" fillId="3" borderId="0" xfId="0" applyFill="1"/>
    <xf numFmtId="2" fontId="0" fillId="3" borderId="0" xfId="0" applyNumberFormat="1" applyFont="1" applyFill="1"/>
    <xf numFmtId="0" fontId="0" fillId="2" borderId="1" xfId="0" applyFill="1" applyBorder="1"/>
    <xf numFmtId="0" fontId="0" fillId="4" borderId="1" xfId="0" applyFill="1" applyBorder="1"/>
    <xf numFmtId="2" fontId="0" fillId="0" borderId="1" xfId="0" applyNumberFormat="1" applyBorder="1"/>
    <xf numFmtId="164" fontId="2" fillId="0" borderId="0" xfId="0" applyNumberFormat="1" applyFont="1" applyAlignment="1">
      <alignment horizontal="left" vertical="center"/>
    </xf>
    <xf numFmtId="0" fontId="0" fillId="5" borderId="0" xfId="0" applyFill="1"/>
    <xf numFmtId="0" fontId="1" fillId="6" borderId="0" xfId="0" applyFont="1" applyFill="1" applyAlignment="1">
      <alignment vertical="center"/>
    </xf>
    <xf numFmtId="0" fontId="3" fillId="7" borderId="0" xfId="0" applyFont="1" applyFill="1" applyAlignment="1">
      <alignment vertical="center"/>
    </xf>
    <xf numFmtId="0" fontId="2" fillId="6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0" fillId="5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12">
    <dxf>
      <numFmt numFmtId="0" formatCode="General"/>
      <fill>
        <patternFill patternType="solid">
          <fgColor indexed="64"/>
          <bgColor rgb="FFFFFF00"/>
        </patternFill>
      </fill>
    </dxf>
    <dxf>
      <numFmt numFmtId="0" formatCode="General"/>
      <fill>
        <patternFill patternType="solid">
          <fgColor indexed="64"/>
          <bgColor rgb="FFFFFF00"/>
        </patternFill>
      </fill>
    </dxf>
    <dxf>
      <numFmt numFmtId="0" formatCode="General"/>
      <fill>
        <patternFill patternType="solid">
          <fgColor indexed="64"/>
          <bgColor rgb="FFFFFF00"/>
        </patternFill>
      </fill>
    </dxf>
    <dxf>
      <numFmt numFmtId="0" formatCode="General"/>
      <fill>
        <patternFill patternType="solid">
          <fgColor indexed="64"/>
          <bgColor rgb="FFFFFF00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 defaultTableStyle="TableStyleMedium2" defaultPivotStyle="PivotStyleLight16">
    <tableStyle name="Tiempos Android-style" pivot="0" count="4" xr9:uid="{618F15E6-BBA1-4549-8A57-6A50A508DFF3}">
      <tableStyleElement type="wholeTable" size="0" dxfId="11"/>
      <tableStyleElement type="headerRow" dxfId="10"/>
      <tableStyleElement type="firstRowStripe" dxfId="9"/>
      <tableStyleElement type="secondRowStripe" dxfId="8"/>
    </tableStyle>
    <tableStyle name="Tiempos ESP-style" pivot="0" count="4" xr9:uid="{7F490106-DF75-423B-A009-86B91BF302F6}">
      <tableStyleElement type="wholeTable" size="0" dxfId="7"/>
      <tableStyleElement type="headerRow" dxfId="6"/>
      <tableStyleElement type="firstRowStripe" dxfId="5"/>
      <tableStyleElement type="secondRowStripe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Tiempo Manual ESP32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0.12487270341207349"/>
          <c:y val="0.18969925634295715"/>
          <c:w val="0.56981627296587922"/>
          <c:h val="0.60574839603382913"/>
        </c:manualLayout>
      </c:layout>
      <c:barChart>
        <c:barDir val="col"/>
        <c:grouping val="clustered"/>
        <c:varyColors val="1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6C70-4459-ABA0-54568D7B95CD}"/>
              </c:ext>
            </c:extLst>
          </c:dPt>
          <c:cat>
            <c:strRef>
              <c:f>'ESP32 Memoria'!$A$3:$A$8</c:f>
              <c:strCache>
                <c:ptCount val="6"/>
                <c:pt idx="0">
                  <c:v>L1</c:v>
                </c:pt>
                <c:pt idx="1">
                  <c:v>L2</c:v>
                </c:pt>
                <c:pt idx="2">
                  <c:v>M1</c:v>
                </c:pt>
                <c:pt idx="3">
                  <c:v>M2</c:v>
                </c:pt>
                <c:pt idx="4">
                  <c:v>M4</c:v>
                </c:pt>
                <c:pt idx="5">
                  <c:v>M5</c:v>
                </c:pt>
              </c:strCache>
            </c:strRef>
          </c:cat>
          <c:val>
            <c:numRef>
              <c:f>'ESP32 Memoria'!#REF!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'ESP32 Memoria'!#REF!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7-6C70-4459-ABA0-54568D7B95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63693440"/>
        <c:axId val="1932362736"/>
      </c:barChart>
      <c:catAx>
        <c:axId val="18636934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Nombre del Grupo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932362736"/>
        <c:crosses val="autoZero"/>
        <c:auto val="1"/>
        <c:lblAlgn val="ctr"/>
        <c:lblOffset val="100"/>
        <c:noMultiLvlLbl val="0"/>
      </c:catAx>
      <c:valAx>
        <c:axId val="193236273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Cant</a:t>
                </a:r>
                <a:r>
                  <a:rPr lang="es-AR" baseline="0"/>
                  <a:t>idad de horas</a:t>
                </a:r>
                <a:endParaRPr lang="es-A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863693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Tiempo Manual</a:t>
            </a:r>
            <a:r>
              <a:rPr lang="es-AR" baseline="0"/>
              <a:t> </a:t>
            </a:r>
            <a:r>
              <a:rPr lang="es-AR"/>
              <a:t>Android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0.12487270341207349"/>
          <c:y val="0.18969925634295715"/>
          <c:w val="0.56981627296587922"/>
          <c:h val="0.60574839603382913"/>
        </c:manualLayout>
      </c:layout>
      <c:barChart>
        <c:barDir val="col"/>
        <c:grouping val="clustered"/>
        <c:varyColors val="1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172-4033-8972-83ACD8272B6B}"/>
              </c:ext>
            </c:extLst>
          </c:dPt>
          <c:cat>
            <c:strRef>
              <c:f>'ESP32 Memoria'!$A$3:$A$8</c:f>
              <c:strCache>
                <c:ptCount val="6"/>
                <c:pt idx="0">
                  <c:v>L1</c:v>
                </c:pt>
                <c:pt idx="1">
                  <c:v>L2</c:v>
                </c:pt>
                <c:pt idx="2">
                  <c:v>M1</c:v>
                </c:pt>
                <c:pt idx="3">
                  <c:v>M2</c:v>
                </c:pt>
                <c:pt idx="4">
                  <c:v>M4</c:v>
                </c:pt>
                <c:pt idx="5">
                  <c:v>M5</c:v>
                </c:pt>
              </c:strCache>
            </c:strRef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C-3172-4033-8972-83ACD8272B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63693440"/>
        <c:axId val="1932362736"/>
      </c:barChart>
      <c:catAx>
        <c:axId val="18636934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Nombre del Grupo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932362736"/>
        <c:crosses val="autoZero"/>
        <c:auto val="1"/>
        <c:lblAlgn val="ctr"/>
        <c:lblOffset val="100"/>
        <c:noMultiLvlLbl val="0"/>
      </c:catAx>
      <c:valAx>
        <c:axId val="193236273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Cant</a:t>
                </a:r>
                <a:r>
                  <a:rPr lang="es-AR" baseline="0"/>
                  <a:t>idad de horas</a:t>
                </a:r>
                <a:endParaRPr lang="es-A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863693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44450</xdr:rowOff>
    </xdr:from>
    <xdr:to>
      <xdr:col>6</xdr:col>
      <xdr:colOff>0</xdr:colOff>
      <xdr:row>17</xdr:row>
      <xdr:rowOff>25400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2694738-31C9-4D4A-8FFD-69227ED619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304800</xdr:colOff>
      <xdr:row>2</xdr:row>
      <xdr:rowOff>50800</xdr:rowOff>
    </xdr:from>
    <xdr:to>
      <xdr:col>12</xdr:col>
      <xdr:colOff>304800</xdr:colOff>
      <xdr:row>17</xdr:row>
      <xdr:rowOff>31750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4A2918A5-EEF8-4510-ACC0-7074AFAB1B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0F09E3D-192F-45C1-97BD-FA9ADFEE6B1C}" name="Tiempos5" displayName="Tiempos5" ref="A2:F9">
  <tableColumns count="6">
    <tableColumn id="1" xr3:uid="{F09EC2B5-1E4F-49FB-80FD-6E46F11FE853}" name="Grupo"/>
    <tableColumn id="2" xr3:uid="{C60EB58C-3A6C-46EF-AA76-2D01B61F3750}" name="Resposo CORE 0"/>
    <tableColumn id="3" xr3:uid="{F96B62C5-1D47-4FD6-9B52-7819643D76A4}" name="Resposo CORE 1"/>
    <tableColumn id="14" xr3:uid="{8E89EB9E-F773-4603-AEAC-19310768E756}" name="Descripcion de la acción" dataDxfId="3">
      <calculatedColumnFormula>SUM(#REF!)</calculatedColumnFormula>
    </tableColumn>
    <tableColumn id="4" xr3:uid="{71FD94C5-F335-493C-8013-E14547F81092}" name="Acción CORE 0"/>
    <tableColumn id="5" xr3:uid="{F6CB0194-C752-447A-BAC1-7B387120F76E}" name="Acción CORE 1"/>
  </tableColumns>
  <tableStyleInfo name="Tiempos ESP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5D70F71-DC1C-4927-A9B7-989C42ACE714}" name="Tiempos36" displayName="Tiempos36" ref="A12:F19">
  <tableColumns count="6">
    <tableColumn id="1" xr3:uid="{596D405E-1EC9-41CA-AFAD-9476F19905C8}" name="Grupo"/>
    <tableColumn id="2" xr3:uid="{5D41D866-3CE0-42E9-A73C-452BCF805505}" name="Resposo CORE 0"/>
    <tableColumn id="3" xr3:uid="{7DB76A46-1851-4D55-91DF-64FBFB13F558}" name="Resposo CORE 1"/>
    <tableColumn id="14" xr3:uid="{64EBC5A8-8300-49CF-8B07-8D1A68BF281A}" name="Descripcion de la acción" dataDxfId="2">
      <calculatedColumnFormula>SUM(#REF!)</calculatedColumnFormula>
    </tableColumn>
    <tableColumn id="4" xr3:uid="{483E1772-CBA0-48F7-A8DB-C33E81CD11F9}" name="Acción CORE 0"/>
    <tableColumn id="5" xr3:uid="{23344B89-3CB1-495F-A789-D309F2FBAF93}" name="Acción CORE 1"/>
  </tableColumns>
  <tableStyleInfo name="Tiempos ESP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B2C890-BAE8-417C-BA10-7BFE72224099}" name="Tiempos" displayName="Tiempos" ref="A2:D9">
  <tableColumns count="4">
    <tableColumn id="1" xr3:uid="{82DA2725-6ECD-4A2F-9D03-DE57049BC492}" name="Grupo"/>
    <tableColumn id="2" xr3:uid="{3B90950D-FBBE-4A15-BA4D-B9EF86F9F588}" name="Resposo CORE 0"/>
    <tableColumn id="14" xr3:uid="{2424B525-EE0B-4234-8F90-31A6CC2DD879}" name="Descripcion de la acción" dataDxfId="1">
      <calculatedColumnFormula>SUM(#REF!)</calculatedColumnFormula>
    </tableColumn>
    <tableColumn id="5" xr3:uid="{421850B3-B0A1-48AD-8AD4-D5D636D1746C}" name="Acción CORE 1"/>
  </tableColumns>
  <tableStyleInfo name="Tiempos ESP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2CA0811-89E1-4CAE-9A01-DF9BB5401C0F}" name="Tiempos3" displayName="Tiempos3" ref="A12:D19">
  <tableColumns count="4">
    <tableColumn id="1" xr3:uid="{37EE5CF3-1C14-45A1-AF0A-734AC6E88609}" name="Grupo"/>
    <tableColumn id="3" xr3:uid="{D3FC9E03-1231-4088-8764-655AD4A8ABD6}" name="Resposo CORE 1"/>
    <tableColumn id="14" xr3:uid="{99FBCCFA-B372-4C53-8D48-D0B58E2243E9}" name="Descripcion de la acción" dataDxfId="0">
      <calculatedColumnFormula>SUM(#REF!)</calculatedColumnFormula>
    </tableColumn>
    <tableColumn id="5" xr3:uid="{8FDCFF5E-BAD6-4D7B-B479-270C95F52D0F}" name="Acción CORE 1"/>
  </tableColumns>
  <tableStyleInfo name="Tiempos ESP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27DFE-A574-4ECC-B51C-DB831A4CE02D}">
  <dimension ref="A1:F19"/>
  <sheetViews>
    <sheetView tabSelected="1" workbookViewId="0">
      <selection activeCell="C19" sqref="C19"/>
    </sheetView>
  </sheetViews>
  <sheetFormatPr baseColWidth="10" defaultColWidth="8.7265625" defaultRowHeight="14.5" x14ac:dyDescent="0.35"/>
  <cols>
    <col min="2" max="2" width="22.6328125" customWidth="1"/>
    <col min="3" max="3" width="20.1796875" customWidth="1"/>
    <col min="4" max="4" width="27.26953125" customWidth="1"/>
    <col min="5" max="5" width="17.54296875" customWidth="1"/>
    <col min="6" max="6" width="27" customWidth="1"/>
  </cols>
  <sheetData>
    <row r="1" spans="1:6" x14ac:dyDescent="0.35">
      <c r="A1" s="15" t="s">
        <v>22</v>
      </c>
      <c r="B1" s="15"/>
      <c r="C1" s="15"/>
      <c r="D1" s="15"/>
      <c r="E1" s="15"/>
      <c r="F1" s="15"/>
    </row>
    <row r="2" spans="1:6" x14ac:dyDescent="0.35">
      <c r="A2" s="1" t="s">
        <v>0</v>
      </c>
      <c r="B2" t="s">
        <v>15</v>
      </c>
      <c r="C2" t="s">
        <v>14</v>
      </c>
      <c r="D2" s="8" t="s">
        <v>11</v>
      </c>
      <c r="E2" t="s">
        <v>16</v>
      </c>
      <c r="F2" t="s">
        <v>13</v>
      </c>
    </row>
    <row r="3" spans="1:6" x14ac:dyDescent="0.35">
      <c r="A3" s="11" t="s">
        <v>1</v>
      </c>
      <c r="B3" t="s">
        <v>17</v>
      </c>
      <c r="C3" s="13" t="s">
        <v>18</v>
      </c>
      <c r="D3" s="12" t="s">
        <v>12</v>
      </c>
      <c r="E3" t="s">
        <v>19</v>
      </c>
      <c r="F3" t="s">
        <v>20</v>
      </c>
    </row>
    <row r="4" spans="1:6" x14ac:dyDescent="0.35">
      <c r="A4" s="11" t="s">
        <v>2</v>
      </c>
      <c r="B4" s="16">
        <v>8.9600000000000009</v>
      </c>
      <c r="C4" s="2" t="s">
        <v>35</v>
      </c>
      <c r="D4" s="10" t="s">
        <v>36</v>
      </c>
      <c r="E4" t="s">
        <v>33</v>
      </c>
      <c r="F4" t="s">
        <v>34</v>
      </c>
    </row>
    <row r="5" spans="1:6" x14ac:dyDescent="0.35">
      <c r="A5" s="11" t="s">
        <v>3</v>
      </c>
      <c r="B5" t="s">
        <v>44</v>
      </c>
      <c r="C5" s="2" t="s">
        <v>45</v>
      </c>
      <c r="D5" s="10" t="s">
        <v>46</v>
      </c>
      <c r="E5" t="s">
        <v>47</v>
      </c>
      <c r="F5" t="s">
        <v>48</v>
      </c>
    </row>
    <row r="6" spans="1:6" x14ac:dyDescent="0.35">
      <c r="A6" s="11" t="s">
        <v>4</v>
      </c>
      <c r="B6" t="s">
        <v>57</v>
      </c>
      <c r="C6" s="2" t="s">
        <v>58</v>
      </c>
      <c r="D6" s="10" t="s">
        <v>61</v>
      </c>
      <c r="E6" t="s">
        <v>78</v>
      </c>
      <c r="F6" t="s">
        <v>79</v>
      </c>
    </row>
    <row r="7" spans="1:6" x14ac:dyDescent="0.35">
      <c r="A7" s="11" t="s">
        <v>5</v>
      </c>
      <c r="B7" t="s">
        <v>70</v>
      </c>
      <c r="C7" t="s">
        <v>71</v>
      </c>
      <c r="D7" s="10" t="s">
        <v>72</v>
      </c>
      <c r="E7" t="s">
        <v>76</v>
      </c>
      <c r="F7" t="s">
        <v>77</v>
      </c>
    </row>
    <row r="8" spans="1:6" x14ac:dyDescent="0.35">
      <c r="A8" s="11" t="s">
        <v>6</v>
      </c>
      <c r="B8" t="s">
        <v>82</v>
      </c>
      <c r="C8" s="2" t="s">
        <v>83</v>
      </c>
      <c r="D8" s="10" t="s">
        <v>86</v>
      </c>
      <c r="E8" t="s">
        <v>89</v>
      </c>
      <c r="F8" t="s">
        <v>90</v>
      </c>
    </row>
    <row r="9" spans="1:6" x14ac:dyDescent="0.35">
      <c r="A9" s="3"/>
      <c r="B9" s="3"/>
      <c r="C9" s="3"/>
      <c r="D9" s="4"/>
      <c r="E9" s="3"/>
      <c r="F9" s="3"/>
    </row>
    <row r="11" spans="1:6" x14ac:dyDescent="0.35">
      <c r="A11" s="15" t="s">
        <v>21</v>
      </c>
      <c r="B11" s="15"/>
      <c r="C11" s="15"/>
      <c r="D11" s="15"/>
      <c r="E11" s="15"/>
      <c r="F11" s="15"/>
    </row>
    <row r="12" spans="1:6" x14ac:dyDescent="0.35">
      <c r="A12" s="1" t="s">
        <v>0</v>
      </c>
      <c r="B12" t="s">
        <v>15</v>
      </c>
      <c r="C12" t="s">
        <v>14</v>
      </c>
      <c r="D12" s="8" t="s">
        <v>11</v>
      </c>
      <c r="E12" t="s">
        <v>16</v>
      </c>
      <c r="F12" t="s">
        <v>13</v>
      </c>
    </row>
    <row r="13" spans="1:6" x14ac:dyDescent="0.35">
      <c r="A13" s="11" t="s">
        <v>1</v>
      </c>
      <c r="B13" t="s">
        <v>25</v>
      </c>
      <c r="C13" s="13" t="s">
        <v>26</v>
      </c>
      <c r="D13" s="12" t="s">
        <v>12</v>
      </c>
      <c r="E13" t="s">
        <v>23</v>
      </c>
      <c r="F13" t="s">
        <v>24</v>
      </c>
    </row>
    <row r="14" spans="1:6" x14ac:dyDescent="0.35">
      <c r="A14" s="11" t="s">
        <v>2</v>
      </c>
      <c r="B14" t="s">
        <v>37</v>
      </c>
      <c r="C14" s="2" t="s">
        <v>38</v>
      </c>
      <c r="D14" s="10" t="s">
        <v>36</v>
      </c>
      <c r="E14" t="s">
        <v>39</v>
      </c>
      <c r="F14" t="s">
        <v>23</v>
      </c>
    </row>
    <row r="15" spans="1:6" x14ac:dyDescent="0.35">
      <c r="A15" s="11" t="s">
        <v>3</v>
      </c>
      <c r="B15" t="s">
        <v>51</v>
      </c>
      <c r="C15" s="2" t="s">
        <v>52</v>
      </c>
      <c r="D15" s="10" t="s">
        <v>46</v>
      </c>
      <c r="E15" t="s">
        <v>49</v>
      </c>
      <c r="F15" t="s">
        <v>50</v>
      </c>
    </row>
    <row r="16" spans="1:6" x14ac:dyDescent="0.35">
      <c r="A16" s="11" t="s">
        <v>4</v>
      </c>
      <c r="B16" t="s">
        <v>59</v>
      </c>
      <c r="C16" s="2" t="s">
        <v>60</v>
      </c>
      <c r="D16" s="10" t="s">
        <v>61</v>
      </c>
      <c r="E16" t="s">
        <v>80</v>
      </c>
      <c r="F16" t="s">
        <v>81</v>
      </c>
    </row>
    <row r="17" spans="1:6" x14ac:dyDescent="0.35">
      <c r="A17" s="11" t="s">
        <v>5</v>
      </c>
      <c r="B17" t="s">
        <v>67</v>
      </c>
      <c r="C17" s="2" t="s">
        <v>68</v>
      </c>
      <c r="D17" s="10" t="s">
        <v>72</v>
      </c>
      <c r="E17" s="17">
        <v>16.239999999999998</v>
      </c>
      <c r="F17" s="17" t="s">
        <v>73</v>
      </c>
    </row>
    <row r="18" spans="1:6" x14ac:dyDescent="0.35">
      <c r="A18" s="11" t="s">
        <v>6</v>
      </c>
      <c r="B18" t="s">
        <v>93</v>
      </c>
      <c r="C18" s="2" t="s">
        <v>94</v>
      </c>
      <c r="D18" s="10" t="s">
        <v>86</v>
      </c>
      <c r="E18" t="s">
        <v>91</v>
      </c>
      <c r="F18" t="s">
        <v>92</v>
      </c>
    </row>
    <row r="19" spans="1:6" x14ac:dyDescent="0.35">
      <c r="A19" s="3"/>
      <c r="B19" s="3"/>
      <c r="C19" s="3"/>
      <c r="D19" s="4"/>
      <c r="E19" s="3"/>
      <c r="F19" s="3"/>
    </row>
  </sheetData>
  <mergeCells count="2">
    <mergeCell ref="A1:F1"/>
    <mergeCell ref="A11:F11"/>
  </mergeCells>
  <dataValidations count="1">
    <dataValidation type="list" allowBlank="1" sqref="A3:A9 A13:A19" xr:uid="{2A9DCAF9-22A7-4777-86A4-1D4767C9015F}">
      <formula1>#REF!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workbookViewId="0">
      <selection activeCell="D18" sqref="D18"/>
    </sheetView>
  </sheetViews>
  <sheetFormatPr baseColWidth="10" defaultColWidth="8.7265625" defaultRowHeight="14.5" x14ac:dyDescent="0.35"/>
  <cols>
    <col min="2" max="2" width="22.6328125" customWidth="1"/>
    <col min="3" max="3" width="34.36328125" customWidth="1"/>
    <col min="4" max="4" width="22.26953125" customWidth="1"/>
    <col min="5" max="5" width="17.54296875" customWidth="1"/>
    <col min="6" max="6" width="27" customWidth="1"/>
  </cols>
  <sheetData>
    <row r="1" spans="1:8" x14ac:dyDescent="0.35">
      <c r="A1" s="15" t="s">
        <v>27</v>
      </c>
      <c r="B1" s="15"/>
      <c r="C1" s="15"/>
      <c r="D1" s="15"/>
      <c r="E1" s="14"/>
      <c r="F1" s="14"/>
      <c r="G1" s="9"/>
      <c r="H1" s="9"/>
    </row>
    <row r="2" spans="1:8" x14ac:dyDescent="0.35">
      <c r="A2" s="1" t="s">
        <v>0</v>
      </c>
      <c r="B2" t="s">
        <v>15</v>
      </c>
      <c r="C2" s="8" t="s">
        <v>11</v>
      </c>
      <c r="D2" t="s">
        <v>13</v>
      </c>
    </row>
    <row r="3" spans="1:8" x14ac:dyDescent="0.35">
      <c r="A3" s="11" t="s">
        <v>1</v>
      </c>
      <c r="B3" t="s">
        <v>29</v>
      </c>
      <c r="C3" s="12" t="s">
        <v>12</v>
      </c>
      <c r="D3" t="s">
        <v>30</v>
      </c>
    </row>
    <row r="4" spans="1:8" x14ac:dyDescent="0.35">
      <c r="A4" s="11" t="s">
        <v>2</v>
      </c>
      <c r="B4" t="s">
        <v>42</v>
      </c>
      <c r="C4" s="10" t="s">
        <v>36</v>
      </c>
      <c r="D4" t="s">
        <v>43</v>
      </c>
    </row>
    <row r="5" spans="1:8" x14ac:dyDescent="0.35">
      <c r="A5" s="11" t="s">
        <v>3</v>
      </c>
      <c r="B5" t="s">
        <v>53</v>
      </c>
      <c r="C5" s="10" t="s">
        <v>46</v>
      </c>
      <c r="D5" t="s">
        <v>55</v>
      </c>
    </row>
    <row r="6" spans="1:8" x14ac:dyDescent="0.35">
      <c r="A6" s="11" t="s">
        <v>4</v>
      </c>
      <c r="B6" t="s">
        <v>62</v>
      </c>
      <c r="C6" s="10" t="s">
        <v>63</v>
      </c>
      <c r="D6" t="s">
        <v>65</v>
      </c>
    </row>
    <row r="7" spans="1:8" x14ac:dyDescent="0.35">
      <c r="A7" s="11" t="s">
        <v>5</v>
      </c>
      <c r="B7" t="s">
        <v>71</v>
      </c>
      <c r="C7" s="10" t="s">
        <v>72</v>
      </c>
      <c r="D7" t="s">
        <v>75</v>
      </c>
    </row>
    <row r="8" spans="1:8" x14ac:dyDescent="0.35">
      <c r="A8" s="11" t="s">
        <v>6</v>
      </c>
      <c r="B8" t="s">
        <v>84</v>
      </c>
      <c r="C8" s="10" t="s">
        <v>86</v>
      </c>
      <c r="D8" t="s">
        <v>87</v>
      </c>
    </row>
    <row r="9" spans="1:8" x14ac:dyDescent="0.35">
      <c r="A9" s="3"/>
      <c r="B9" s="3"/>
      <c r="C9" s="4"/>
      <c r="D9" s="3"/>
    </row>
    <row r="11" spans="1:8" x14ac:dyDescent="0.35">
      <c r="A11" s="15" t="s">
        <v>28</v>
      </c>
      <c r="B11" s="15"/>
      <c r="C11" s="15"/>
      <c r="D11" s="15"/>
      <c r="E11" s="14"/>
      <c r="F11" s="14"/>
    </row>
    <row r="12" spans="1:8" x14ac:dyDescent="0.35">
      <c r="A12" s="1" t="s">
        <v>0</v>
      </c>
      <c r="B12" t="s">
        <v>14</v>
      </c>
      <c r="C12" s="8" t="s">
        <v>11</v>
      </c>
      <c r="D12" t="s">
        <v>13</v>
      </c>
    </row>
    <row r="13" spans="1:8" x14ac:dyDescent="0.35">
      <c r="A13" s="11" t="s">
        <v>1</v>
      </c>
      <c r="B13" s="13" t="s">
        <v>32</v>
      </c>
      <c r="C13" s="12" t="s">
        <v>12</v>
      </c>
      <c r="D13" t="s">
        <v>31</v>
      </c>
    </row>
    <row r="14" spans="1:8" x14ac:dyDescent="0.35">
      <c r="A14" s="11" t="s">
        <v>2</v>
      </c>
      <c r="B14" s="2" t="s">
        <v>41</v>
      </c>
      <c r="C14" s="10" t="s">
        <v>36</v>
      </c>
      <c r="D14" t="s">
        <v>40</v>
      </c>
    </row>
    <row r="15" spans="1:8" x14ac:dyDescent="0.35">
      <c r="A15" s="11" t="s">
        <v>3</v>
      </c>
      <c r="B15" s="2" t="s">
        <v>54</v>
      </c>
      <c r="C15" s="10" t="s">
        <v>46</v>
      </c>
      <c r="D15" t="s">
        <v>56</v>
      </c>
    </row>
    <row r="16" spans="1:8" x14ac:dyDescent="0.35">
      <c r="A16" s="11" t="s">
        <v>4</v>
      </c>
      <c r="B16" s="2" t="s">
        <v>64</v>
      </c>
      <c r="C16" s="10" t="s">
        <v>63</v>
      </c>
      <c r="D16" t="s">
        <v>66</v>
      </c>
    </row>
    <row r="17" spans="1:4" x14ac:dyDescent="0.35">
      <c r="A17" s="11" t="s">
        <v>5</v>
      </c>
      <c r="B17" t="s">
        <v>69</v>
      </c>
      <c r="C17" s="10" t="s">
        <v>72</v>
      </c>
      <c r="D17" t="s">
        <v>74</v>
      </c>
    </row>
    <row r="18" spans="1:4" x14ac:dyDescent="0.35">
      <c r="A18" s="11" t="s">
        <v>6</v>
      </c>
      <c r="B18" s="2" t="s">
        <v>85</v>
      </c>
      <c r="C18" s="10" t="s">
        <v>86</v>
      </c>
      <c r="D18" t="s">
        <v>88</v>
      </c>
    </row>
    <row r="19" spans="1:4" x14ac:dyDescent="0.35">
      <c r="A19" s="3"/>
      <c r="B19" s="3"/>
      <c r="C19" s="4"/>
      <c r="D19" s="3"/>
    </row>
  </sheetData>
  <mergeCells count="2">
    <mergeCell ref="A1:D1"/>
    <mergeCell ref="A11:D11"/>
  </mergeCells>
  <dataValidations count="1">
    <dataValidation type="list" allowBlank="1" sqref="A3:A9 A13:A19" xr:uid="{783A1768-A046-488C-8D4E-08B172586A30}">
      <formula1>#REF!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E204D-0B67-410C-8EE1-3A5778E8BBBD}">
  <dimension ref="N3:O5"/>
  <sheetViews>
    <sheetView topLeftCell="B1" workbookViewId="0">
      <selection activeCell="O18" sqref="O18"/>
    </sheetView>
  </sheetViews>
  <sheetFormatPr baseColWidth="10" defaultRowHeight="14.5" x14ac:dyDescent="0.35"/>
  <cols>
    <col min="14" max="14" width="20.1796875" customWidth="1"/>
    <col min="15" max="15" width="14.54296875" customWidth="1"/>
  </cols>
  <sheetData>
    <row r="3" spans="14:15" x14ac:dyDescent="0.35">
      <c r="N3" s="5" t="s">
        <v>7</v>
      </c>
      <c r="O3" s="5" t="s">
        <v>10</v>
      </c>
    </row>
    <row r="4" spans="14:15" x14ac:dyDescent="0.35">
      <c r="N4" s="6" t="s">
        <v>8</v>
      </c>
      <c r="O4" s="7">
        <f>'ESP32 Memoria'!C9</f>
        <v>0</v>
      </c>
    </row>
    <row r="5" spans="14:15" x14ac:dyDescent="0.35">
      <c r="N5" s="6" t="s">
        <v>9</v>
      </c>
      <c r="O5" s="7" t="e">
        <f>#REF!</f>
        <v>#REF!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ESP32 CPU (2)</vt:lpstr>
      <vt:lpstr>ESP32 Memoria</vt:lpstr>
      <vt:lpstr>Analisis de tiempos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.</dc:creator>
  <cp:lastModifiedBy>ESTEBAN CARNUCCIO</cp:lastModifiedBy>
  <dcterms:created xsi:type="dcterms:W3CDTF">2015-06-05T18:19:34Z</dcterms:created>
  <dcterms:modified xsi:type="dcterms:W3CDTF">2026-05-23T00:23:00Z</dcterms:modified>
</cp:coreProperties>
</file>