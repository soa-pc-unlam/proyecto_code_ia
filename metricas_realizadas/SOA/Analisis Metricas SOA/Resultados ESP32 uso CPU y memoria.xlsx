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proyecto_code_ia\metricas_realizadas\SOA\Analisis Metricas SOA\"/>
    </mc:Choice>
  </mc:AlternateContent>
  <xr:revisionPtr revIDLastSave="0" documentId="13_ncr:1_{E9016138-10C1-463D-9B94-05F77E246E1F}" xr6:coauthVersionLast="47" xr6:coauthVersionMax="47" xr10:uidLastSave="{00000000-0000-0000-0000-000000000000}"/>
  <bookViews>
    <workbookView xWindow="-110" yWindow="-110" windowWidth="19420" windowHeight="10420" activeTab="3" xr2:uid="{00000000-000D-0000-FFFF-FFFF00000000}"/>
  </bookViews>
  <sheets>
    <sheet name="ESP32 CPU " sheetId="5" r:id="rId1"/>
    <sheet name="ESP32 Memoria" sheetId="1" r:id="rId2"/>
    <sheet name="Analisis de uso CPU" sheetId="4" r:id="rId3"/>
    <sheet name="Analisis uso de memoria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8" i="1" l="1"/>
  <c r="B58" i="1"/>
  <c r="C57" i="1"/>
  <c r="B57" i="1"/>
  <c r="C40" i="1"/>
  <c r="C49" i="1" s="1"/>
  <c r="C39" i="1"/>
  <c r="C38" i="1"/>
  <c r="C37" i="1"/>
  <c r="C36" i="1"/>
  <c r="C35" i="1"/>
  <c r="B40" i="1"/>
  <c r="B39" i="1"/>
  <c r="B38" i="1"/>
  <c r="B37" i="1"/>
  <c r="B36" i="1"/>
  <c r="B35" i="1"/>
  <c r="C25" i="1"/>
  <c r="C45" i="1" s="1"/>
  <c r="C50" i="1" s="1"/>
  <c r="C26" i="1"/>
  <c r="C27" i="1"/>
  <c r="C28" i="1"/>
  <c r="C29" i="1"/>
  <c r="C30" i="1"/>
  <c r="B30" i="1"/>
  <c r="B29" i="1"/>
  <c r="B49" i="1" s="1"/>
  <c r="B28" i="1"/>
  <c r="B48" i="1" s="1"/>
  <c r="B27" i="1"/>
  <c r="B47" i="1" s="1"/>
  <c r="B26" i="1"/>
  <c r="B25" i="1"/>
  <c r="B45" i="1" s="1"/>
  <c r="B50" i="1" s="1"/>
  <c r="C60" i="5"/>
  <c r="C59" i="5"/>
  <c r="C58" i="5"/>
  <c r="C57" i="5"/>
  <c r="B60" i="5"/>
  <c r="B59" i="5"/>
  <c r="B58" i="5"/>
  <c r="B57" i="5"/>
  <c r="D35" i="5"/>
  <c r="D36" i="5"/>
  <c r="D37" i="5"/>
  <c r="D38" i="5"/>
  <c r="D39" i="5"/>
  <c r="D40" i="5"/>
  <c r="E35" i="5"/>
  <c r="E36" i="5"/>
  <c r="E37" i="5"/>
  <c r="E38" i="5"/>
  <c r="E39" i="5"/>
  <c r="E40" i="5"/>
  <c r="B35" i="5"/>
  <c r="B36" i="5"/>
  <c r="B37" i="5"/>
  <c r="B38" i="5"/>
  <c r="B39" i="5"/>
  <c r="B40" i="5"/>
  <c r="C35" i="5"/>
  <c r="C36" i="5"/>
  <c r="C37" i="5"/>
  <c r="C38" i="5"/>
  <c r="C39" i="5"/>
  <c r="C40" i="5"/>
  <c r="E30" i="5"/>
  <c r="E29" i="5"/>
  <c r="E28" i="5"/>
  <c r="E27" i="5"/>
  <c r="E26" i="5"/>
  <c r="E25" i="5"/>
  <c r="D25" i="5"/>
  <c r="C45" i="5" s="1"/>
  <c r="D26" i="5"/>
  <c r="D27" i="5"/>
  <c r="D28" i="5"/>
  <c r="C48" i="5" s="1"/>
  <c r="D29" i="5"/>
  <c r="C49" i="5" s="1"/>
  <c r="D30" i="5"/>
  <c r="C25" i="5"/>
  <c r="C26" i="5"/>
  <c r="C27" i="5"/>
  <c r="C28" i="5"/>
  <c r="C29" i="5"/>
  <c r="C30" i="5"/>
  <c r="B26" i="5"/>
  <c r="B46" i="5" s="1"/>
  <c r="B27" i="5"/>
  <c r="B47" i="5" s="1"/>
  <c r="B28" i="5"/>
  <c r="B29" i="5"/>
  <c r="B30" i="5"/>
  <c r="B50" i="5" s="1"/>
  <c r="B25" i="5"/>
  <c r="C48" i="1" l="1"/>
  <c r="C47" i="1"/>
  <c r="C46" i="1"/>
  <c r="C51" i="1" s="1"/>
  <c r="B46" i="1"/>
  <c r="B51" i="1"/>
  <c r="B45" i="5"/>
  <c r="C50" i="5"/>
  <c r="B49" i="5"/>
  <c r="C47" i="5"/>
  <c r="C46" i="5"/>
  <c r="B48" i="5"/>
</calcChain>
</file>

<file path=xl/sharedStrings.xml><?xml version="1.0" encoding="utf-8"?>
<sst xmlns="http://schemas.openxmlformats.org/spreadsheetml/2006/main" count="156" uniqueCount="50">
  <si>
    <t>Grupo</t>
  </si>
  <si>
    <t>L1</t>
  </si>
  <si>
    <t>L2</t>
  </si>
  <si>
    <t>M1</t>
  </si>
  <si>
    <t>M2</t>
  </si>
  <si>
    <t>M4</t>
  </si>
  <si>
    <t>M5</t>
  </si>
  <si>
    <t>Descripcion de la acción</t>
  </si>
  <si>
    <t>Mover servo</t>
  </si>
  <si>
    <t>Acción CORE 1</t>
  </si>
  <si>
    <t>Resposo CORE 1</t>
  </si>
  <si>
    <t>Resposo CORE 0</t>
  </si>
  <si>
    <t>Acción CORE 0</t>
  </si>
  <si>
    <t>Porcentaje de uso de CPU % (CON VIBECODING)</t>
  </si>
  <si>
    <t>Porcentaje de uso de CPU % (SIN VIBECODING)</t>
  </si>
  <si>
    <t>Porcentaje de uso de Memoria % (SIN VIBECODING)</t>
  </si>
  <si>
    <t>Porcentaje de uso de Memoria % (CON VIBECODING)</t>
  </si>
  <si>
    <t>Reproducir musica cuadratica</t>
  </si>
  <si>
    <t>30 segundos despues de iniciar viaje</t>
  </si>
  <si>
    <t>midiendo consumo de agua</t>
  </si>
  <si>
    <t>midiendo consumo del agua</t>
  </si>
  <si>
    <t>proceso de llenado de reservorio</t>
  </si>
  <si>
    <t>mover cinta por timeout</t>
  </si>
  <si>
    <t>MEDICIONES BRUTAS</t>
  </si>
  <si>
    <t>Porcentaje Promedio de uso de Cpu%</t>
  </si>
  <si>
    <t>Sin Vibecoding</t>
  </si>
  <si>
    <t>Con Vibecoding</t>
  </si>
  <si>
    <t>Reposo</t>
  </si>
  <si>
    <t>Acción</t>
  </si>
  <si>
    <t>Resposo</t>
  </si>
  <si>
    <t>SinVB_CORE 0</t>
  </si>
  <si>
    <t>SinVB_CORE 1</t>
  </si>
  <si>
    <t>Porcentaje de uso de CPU % (Reposo)</t>
  </si>
  <si>
    <t>ConVB_CORE 0</t>
  </si>
  <si>
    <t>ConVB_CORE 1</t>
  </si>
  <si>
    <t>Porcentaje de uso de CPU % (Acción)</t>
  </si>
  <si>
    <t>VALORES PARA GRAFICOS DE BARRAS</t>
  </si>
  <si>
    <t>VALORES PARA GRAFICOS RADIAL</t>
  </si>
  <si>
    <t>Métrica</t>
  </si>
  <si>
    <t>Sin VB</t>
  </si>
  <si>
    <t>Con VB</t>
  </si>
  <si>
    <t>Reposo CORE0</t>
  </si>
  <si>
    <t>Reposo CORE1</t>
  </si>
  <si>
    <t>Acción CORE0</t>
  </si>
  <si>
    <t>Acción CORE1</t>
  </si>
  <si>
    <t>ConVB</t>
  </si>
  <si>
    <t>SinVB</t>
  </si>
  <si>
    <t>Porcentaje de uso de Memoria % (Reposo)</t>
  </si>
  <si>
    <t>Porcentaje de uso de Memoria % (Acción)</t>
  </si>
  <si>
    <t>Porcentaje Promedio de uso de Memoria%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</si>
</sst>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"/>
  </numFmts>
  <fonts count="6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356854"/>
        <bgColor rgb="FF356854"/>
      </patternFill>
    </fill>
  </fills>
  <borders count="3">
    <border>
      <left/>
      <right/>
      <top/>
      <bottom/>
      <diagonal/>
    </border>
    <border>
      <left style="thin">
        <color rgb="FF356854"/>
      </left>
      <right/>
      <top style="thin">
        <color rgb="FF356854"/>
      </top>
      <bottom/>
      <diagonal/>
    </border>
    <border>
      <left style="thin">
        <color rgb="FF356854"/>
      </left>
      <right style="thin">
        <color rgb="FF356854"/>
      </right>
      <top style="thin">
        <color rgb="FF356854"/>
      </top>
      <bottom style="thin">
        <color rgb="FF35685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 applyAlignment="1">
      <alignment horizontal="left" vertical="center"/>
    </xf>
    <xf numFmtId="0" fontId="0" fillId="3" borderId="0" xfId="0" applyFill="1"/>
    <xf numFmtId="2" fontId="0" fillId="3" borderId="0" xfId="0" applyNumberFormat="1" applyFont="1" applyFill="1"/>
    <xf numFmtId="164" fontId="2" fillId="0" borderId="0" xfId="0" applyNumberFormat="1" applyFont="1" applyAlignment="1">
      <alignment horizontal="left" vertical="center"/>
    </xf>
    <xf numFmtId="0" fontId="0" fillId="4" borderId="0" xfId="0" applyFill="1"/>
    <xf numFmtId="0" fontId="1" fillId="5" borderId="0" xfId="0" applyFont="1" applyFill="1" applyAlignment="1">
      <alignment vertical="center"/>
    </xf>
    <xf numFmtId="0" fontId="3" fillId="6" borderId="0" xfId="0" applyFont="1" applyFill="1" applyAlignment="1">
      <alignment vertical="center"/>
    </xf>
    <xf numFmtId="0" fontId="2" fillId="5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0" fillId="4" borderId="0" xfId="0" applyFill="1" applyAlignment="1">
      <alignment horizontal="center"/>
    </xf>
    <xf numFmtId="0" fontId="0" fillId="0" borderId="0" xfId="0" applyNumberFormat="1"/>
    <xf numFmtId="0" fontId="4" fillId="7" borderId="0" xfId="0" applyFont="1" applyFill="1" applyAlignment="1">
      <alignment horizontal="center"/>
    </xf>
    <xf numFmtId="0" fontId="1" fillId="0" borderId="0" xfId="0" applyNumberFormat="1" applyFont="1" applyAlignment="1">
      <alignment vertical="center"/>
    </xf>
    <xf numFmtId="0" fontId="0" fillId="0" borderId="0" xfId="0" applyNumberFormat="1" applyAlignment="1">
      <alignment horizontal="right"/>
    </xf>
    <xf numFmtId="0" fontId="2" fillId="0" borderId="0" xfId="0" applyNumberFormat="1" applyFont="1" applyAlignment="1">
      <alignment vertical="center"/>
    </xf>
    <xf numFmtId="0" fontId="0" fillId="0" borderId="0" xfId="0" applyAlignment="1">
      <alignment horizontal="right" vertical="top"/>
    </xf>
    <xf numFmtId="0" fontId="0" fillId="0" borderId="0" xfId="0" applyNumberFormat="1" applyAlignment="1">
      <alignment horizontal="right" vertical="top"/>
    </xf>
    <xf numFmtId="2" fontId="0" fillId="0" borderId="0" xfId="0" applyNumberFormat="1" applyAlignment="1">
      <alignment horizontal="right"/>
    </xf>
    <xf numFmtId="2" fontId="0" fillId="3" borderId="0" xfId="0" applyNumberFormat="1" applyFill="1"/>
    <xf numFmtId="0" fontId="0" fillId="2" borderId="0" xfId="0" applyFill="1" applyAlignment="1">
      <alignment horizontal="center"/>
    </xf>
    <xf numFmtId="0" fontId="4" fillId="7" borderId="0" xfId="0" applyFont="1" applyFill="1" applyAlignment="1">
      <alignment horizontal="center"/>
    </xf>
    <xf numFmtId="0" fontId="1" fillId="8" borderId="1" xfId="0" applyFont="1" applyFill="1" applyBorder="1" applyAlignment="1">
      <alignment horizontal="left" vertical="center"/>
    </xf>
    <xf numFmtId="0" fontId="1" fillId="8" borderId="2" xfId="0" applyFont="1" applyFill="1" applyBorder="1" applyAlignment="1">
      <alignment horizontal="left" vertical="center"/>
    </xf>
    <xf numFmtId="0" fontId="3" fillId="6" borderId="2" xfId="0" applyFont="1" applyFill="1" applyBorder="1" applyAlignment="1">
      <alignment vertical="center" wrapText="1"/>
    </xf>
    <xf numFmtId="2" fontId="0" fillId="0" borderId="2" xfId="0" applyNumberFormat="1" applyBorder="1" applyAlignment="1">
      <alignment vertical="center" wrapText="1"/>
    </xf>
  </cellXfs>
  <cellStyles count="1">
    <cellStyle name="Normal" xfId="0" builtinId="0"/>
  </cellStyles>
  <dxfs count="24">
    <dxf>
      <numFmt numFmtId="2" formatCode="0.00"/>
    </dxf>
    <dxf>
      <numFmt numFmtId="2" formatCode="0.00"/>
    </dxf>
    <dxf>
      <numFmt numFmtId="0" formatCode="General"/>
    </dxf>
    <dxf>
      <numFmt numFmtId="0" formatCode="General"/>
      <fill>
        <patternFill patternType="solid">
          <fgColor indexed="64"/>
          <bgColor rgb="FFFFFF00"/>
        </patternFill>
      </fill>
    </dxf>
    <dxf>
      <numFmt numFmtId="0" formatCode="General"/>
      <fill>
        <patternFill patternType="solid">
          <fgColor indexed="64"/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0" formatCode="General"/>
      <fill>
        <patternFill patternType="solid">
          <fgColor indexed="64"/>
          <bgColor rgb="FFFFFF00"/>
        </patternFill>
      </fill>
    </dxf>
    <dxf>
      <numFmt numFmtId="0" formatCode="General"/>
      <fill>
        <patternFill patternType="solid">
          <fgColor indexed="64"/>
          <bgColor rgb="FFFFFF00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 defaultTableStyle="TableStyleMedium2" defaultPivotStyle="PivotStyleLight16">
    <tableStyle name="Tiempos Android-style" pivot="0" count="4" xr9:uid="{618F15E6-BBA1-4549-8A57-6A50A508DFF3}">
      <tableStyleElement type="wholeTable" size="0" dxfId="23"/>
      <tableStyleElement type="headerRow" dxfId="22"/>
      <tableStyleElement type="firstRowStripe" dxfId="21"/>
      <tableStyleElement type="secondRowStripe" dxfId="20"/>
    </tableStyle>
    <tableStyle name="Tiempos ESP-style" pivot="0" count="4" xr9:uid="{7F490106-DF75-423B-A009-86B91BF302F6}">
      <tableStyleElement type="wholeTable" size="0" dxfId="19"/>
      <tableStyleElement type="headerRow" dxfId="18"/>
      <tableStyleElement type="firstRowStripe" dxfId="17"/>
      <tableStyleElement type="secondRowStripe" dxfId="1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Porcentaje uso</a:t>
            </a:r>
            <a:r>
              <a:rPr lang="es-AR" baseline="0"/>
              <a:t> CPU en reposo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'ESP32 CPU '!$B$24</c:f>
              <c:strCache>
                <c:ptCount val="1"/>
                <c:pt idx="0">
                  <c:v>SinVB_CORE 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'ESP32 CPU '!$A$25:$A$32</c:f>
              <c:strCache>
                <c:ptCount val="6"/>
                <c:pt idx="0">
                  <c:v>L1</c:v>
                </c:pt>
                <c:pt idx="1">
                  <c:v>L2</c:v>
                </c:pt>
                <c:pt idx="2">
                  <c:v>M1</c:v>
                </c:pt>
                <c:pt idx="3">
                  <c:v>M2</c:v>
                </c:pt>
                <c:pt idx="4">
                  <c:v>M4</c:v>
                </c:pt>
                <c:pt idx="5">
                  <c:v>M5</c:v>
                </c:pt>
              </c:strCache>
            </c:strRef>
          </c:cat>
          <c:val>
            <c:numRef>
              <c:f>'ESP32 CPU '!$B$25:$B$32</c:f>
              <c:numCache>
                <c:formatCode>General</c:formatCode>
                <c:ptCount val="8"/>
                <c:pt idx="0">
                  <c:v>4.37</c:v>
                </c:pt>
                <c:pt idx="1">
                  <c:v>8.9600000000000009</c:v>
                </c:pt>
                <c:pt idx="2">
                  <c:v>3.39</c:v>
                </c:pt>
                <c:pt idx="3">
                  <c:v>4.32</c:v>
                </c:pt>
                <c:pt idx="4">
                  <c:v>25.01</c:v>
                </c:pt>
                <c:pt idx="5">
                  <c:v>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DE-4DE9-ADD2-E6320F36887E}"/>
            </c:ext>
          </c:extLst>
        </c:ser>
        <c:ser>
          <c:idx val="1"/>
          <c:order val="1"/>
          <c:tx>
            <c:strRef>
              <c:f>'ESP32 CPU '!$C$24</c:f>
              <c:strCache>
                <c:ptCount val="1"/>
                <c:pt idx="0">
                  <c:v>SinVB_CORE 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'ESP32 CPU '!$A$25:$A$32</c:f>
              <c:strCache>
                <c:ptCount val="6"/>
                <c:pt idx="0">
                  <c:v>L1</c:v>
                </c:pt>
                <c:pt idx="1">
                  <c:v>L2</c:v>
                </c:pt>
                <c:pt idx="2">
                  <c:v>M1</c:v>
                </c:pt>
                <c:pt idx="3">
                  <c:v>M2</c:v>
                </c:pt>
                <c:pt idx="4">
                  <c:v>M4</c:v>
                </c:pt>
                <c:pt idx="5">
                  <c:v>M5</c:v>
                </c:pt>
              </c:strCache>
            </c:strRef>
          </c:cat>
          <c:val>
            <c:numRef>
              <c:f>'ESP32 CPU '!$C$25:$C$32</c:f>
              <c:numCache>
                <c:formatCode>General</c:formatCode>
                <c:ptCount val="8"/>
                <c:pt idx="0">
                  <c:v>7.19</c:v>
                </c:pt>
                <c:pt idx="1">
                  <c:v>13.4</c:v>
                </c:pt>
                <c:pt idx="2">
                  <c:v>60.99</c:v>
                </c:pt>
                <c:pt idx="3">
                  <c:v>5.23</c:v>
                </c:pt>
                <c:pt idx="4">
                  <c:v>28.91</c:v>
                </c:pt>
                <c:pt idx="5">
                  <c:v>5.37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FDE-4DE9-ADD2-E6320F36887E}"/>
            </c:ext>
          </c:extLst>
        </c:ser>
        <c:ser>
          <c:idx val="2"/>
          <c:order val="2"/>
          <c:tx>
            <c:strRef>
              <c:f>'ESP32 CPU '!$D$24</c:f>
              <c:strCache>
                <c:ptCount val="1"/>
                <c:pt idx="0">
                  <c:v>ConVB_CORE 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'ESP32 CPU '!$A$25:$A$32</c:f>
              <c:strCache>
                <c:ptCount val="6"/>
                <c:pt idx="0">
                  <c:v>L1</c:v>
                </c:pt>
                <c:pt idx="1">
                  <c:v>L2</c:v>
                </c:pt>
                <c:pt idx="2">
                  <c:v>M1</c:v>
                </c:pt>
                <c:pt idx="3">
                  <c:v>M2</c:v>
                </c:pt>
                <c:pt idx="4">
                  <c:v>M4</c:v>
                </c:pt>
                <c:pt idx="5">
                  <c:v>M5</c:v>
                </c:pt>
              </c:strCache>
            </c:strRef>
          </c:cat>
          <c:val>
            <c:numRef>
              <c:f>'ESP32 CPU '!$D$25:$D$32</c:f>
              <c:numCache>
                <c:formatCode>General</c:formatCode>
                <c:ptCount val="8"/>
                <c:pt idx="0">
                  <c:v>5.01</c:v>
                </c:pt>
                <c:pt idx="1">
                  <c:v>8.27</c:v>
                </c:pt>
                <c:pt idx="2">
                  <c:v>6.22</c:v>
                </c:pt>
                <c:pt idx="3">
                  <c:v>2.2599999999999998</c:v>
                </c:pt>
                <c:pt idx="4">
                  <c:v>18.350000000000001</c:v>
                </c:pt>
                <c:pt idx="5">
                  <c:v>6.59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FDE-4DE9-ADD2-E6320F36887E}"/>
            </c:ext>
          </c:extLst>
        </c:ser>
        <c:ser>
          <c:idx val="3"/>
          <c:order val="3"/>
          <c:tx>
            <c:strRef>
              <c:f>'ESP32 CPU '!$E$24</c:f>
              <c:strCache>
                <c:ptCount val="1"/>
                <c:pt idx="0">
                  <c:v>ConVB_CORE 1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'ESP32 CPU '!$A$25:$A$32</c:f>
              <c:strCache>
                <c:ptCount val="6"/>
                <c:pt idx="0">
                  <c:v>L1</c:v>
                </c:pt>
                <c:pt idx="1">
                  <c:v>L2</c:v>
                </c:pt>
                <c:pt idx="2">
                  <c:v>M1</c:v>
                </c:pt>
                <c:pt idx="3">
                  <c:v>M2</c:v>
                </c:pt>
                <c:pt idx="4">
                  <c:v>M4</c:v>
                </c:pt>
                <c:pt idx="5">
                  <c:v>M5</c:v>
                </c:pt>
              </c:strCache>
            </c:strRef>
          </c:cat>
          <c:val>
            <c:numRef>
              <c:f>'ESP32 CPU '!$E$25:$E$32</c:f>
              <c:numCache>
                <c:formatCode>General</c:formatCode>
                <c:ptCount val="8"/>
                <c:pt idx="0">
                  <c:v>11.2</c:v>
                </c:pt>
                <c:pt idx="1">
                  <c:v>7.98</c:v>
                </c:pt>
                <c:pt idx="2">
                  <c:v>4.8499999999999996</c:v>
                </c:pt>
                <c:pt idx="3">
                  <c:v>6.28</c:v>
                </c:pt>
                <c:pt idx="4">
                  <c:v>17.559999999999999</c:v>
                </c:pt>
                <c:pt idx="5">
                  <c:v>35.39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FDE-4DE9-ADD2-E6320F3688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59168848"/>
        <c:axId val="359166768"/>
      </c:barChart>
      <c:catAx>
        <c:axId val="3591688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Grupos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59166768"/>
        <c:crosses val="autoZero"/>
        <c:auto val="1"/>
        <c:lblAlgn val="ctr"/>
        <c:lblOffset val="100"/>
        <c:noMultiLvlLbl val="0"/>
      </c:catAx>
      <c:valAx>
        <c:axId val="359166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Uso</a:t>
                </a:r>
                <a:r>
                  <a:rPr lang="es-AR" baseline="0"/>
                  <a:t> de CPU(%)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59168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Porcentaje</a:t>
            </a:r>
            <a:r>
              <a:rPr lang="es-AR" baseline="0"/>
              <a:t> uso de CPU realizado una Acción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'ESP32 CPU '!$B$34</c:f>
              <c:strCache>
                <c:ptCount val="1"/>
                <c:pt idx="0">
                  <c:v>SinVB_CORE 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'ESP32 CPU '!$A$35:$A$41</c:f>
              <c:strCache>
                <c:ptCount val="6"/>
                <c:pt idx="0">
                  <c:v>L1</c:v>
                </c:pt>
                <c:pt idx="1">
                  <c:v>L2</c:v>
                </c:pt>
                <c:pt idx="2">
                  <c:v>M1</c:v>
                </c:pt>
                <c:pt idx="3">
                  <c:v>M2</c:v>
                </c:pt>
                <c:pt idx="4">
                  <c:v>M4</c:v>
                </c:pt>
                <c:pt idx="5">
                  <c:v>M5</c:v>
                </c:pt>
              </c:strCache>
            </c:strRef>
          </c:cat>
          <c:val>
            <c:numRef>
              <c:f>'ESP32 CPU '!$B$35:$B$41</c:f>
              <c:numCache>
                <c:formatCode>General</c:formatCode>
                <c:ptCount val="7"/>
                <c:pt idx="0">
                  <c:v>4.33</c:v>
                </c:pt>
                <c:pt idx="1">
                  <c:v>2.56</c:v>
                </c:pt>
                <c:pt idx="2">
                  <c:v>2.02</c:v>
                </c:pt>
                <c:pt idx="3">
                  <c:v>4.24</c:v>
                </c:pt>
                <c:pt idx="4">
                  <c:v>21.58</c:v>
                </c:pt>
                <c:pt idx="5">
                  <c:v>2.85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AF-4775-B5BA-6D3043345F33}"/>
            </c:ext>
          </c:extLst>
        </c:ser>
        <c:ser>
          <c:idx val="1"/>
          <c:order val="1"/>
          <c:tx>
            <c:strRef>
              <c:f>'ESP32 CPU '!$C$34</c:f>
              <c:strCache>
                <c:ptCount val="1"/>
                <c:pt idx="0">
                  <c:v>SinVB_CORE 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'ESP32 CPU '!$A$35:$A$41</c:f>
              <c:strCache>
                <c:ptCount val="6"/>
                <c:pt idx="0">
                  <c:v>L1</c:v>
                </c:pt>
                <c:pt idx="1">
                  <c:v>L2</c:v>
                </c:pt>
                <c:pt idx="2">
                  <c:v>M1</c:v>
                </c:pt>
                <c:pt idx="3">
                  <c:v>M2</c:v>
                </c:pt>
                <c:pt idx="4">
                  <c:v>M4</c:v>
                </c:pt>
                <c:pt idx="5">
                  <c:v>M5</c:v>
                </c:pt>
              </c:strCache>
            </c:strRef>
          </c:cat>
          <c:val>
            <c:numRef>
              <c:f>'ESP32 CPU '!$C$35:$C$41</c:f>
              <c:numCache>
                <c:formatCode>General</c:formatCode>
                <c:ptCount val="7"/>
                <c:pt idx="0">
                  <c:v>3.51</c:v>
                </c:pt>
                <c:pt idx="1">
                  <c:v>3.75</c:v>
                </c:pt>
                <c:pt idx="2">
                  <c:v>89.79</c:v>
                </c:pt>
                <c:pt idx="3">
                  <c:v>5.21</c:v>
                </c:pt>
                <c:pt idx="4">
                  <c:v>36.479999999999997</c:v>
                </c:pt>
                <c:pt idx="5">
                  <c:v>0.36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AF-4775-B5BA-6D3043345F33}"/>
            </c:ext>
          </c:extLst>
        </c:ser>
        <c:ser>
          <c:idx val="2"/>
          <c:order val="2"/>
          <c:tx>
            <c:strRef>
              <c:f>'ESP32 CPU '!$D$34</c:f>
              <c:strCache>
                <c:ptCount val="1"/>
                <c:pt idx="0">
                  <c:v>ConVB_CORE 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'ESP32 CPU '!$A$35:$A$41</c:f>
              <c:strCache>
                <c:ptCount val="6"/>
                <c:pt idx="0">
                  <c:v>L1</c:v>
                </c:pt>
                <c:pt idx="1">
                  <c:v>L2</c:v>
                </c:pt>
                <c:pt idx="2">
                  <c:v>M1</c:v>
                </c:pt>
                <c:pt idx="3">
                  <c:v>M2</c:v>
                </c:pt>
                <c:pt idx="4">
                  <c:v>M4</c:v>
                </c:pt>
                <c:pt idx="5">
                  <c:v>M5</c:v>
                </c:pt>
              </c:strCache>
            </c:strRef>
          </c:cat>
          <c:val>
            <c:numRef>
              <c:f>'ESP32 CPU '!$D$35:$D$41</c:f>
              <c:numCache>
                <c:formatCode>General</c:formatCode>
                <c:ptCount val="7"/>
                <c:pt idx="0">
                  <c:v>3.61</c:v>
                </c:pt>
                <c:pt idx="1">
                  <c:v>1.74</c:v>
                </c:pt>
                <c:pt idx="2">
                  <c:v>3.99</c:v>
                </c:pt>
                <c:pt idx="3">
                  <c:v>2.17</c:v>
                </c:pt>
                <c:pt idx="4">
                  <c:v>16.239999999999998</c:v>
                </c:pt>
                <c:pt idx="5">
                  <c:v>83.41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4AF-4775-B5BA-6D3043345F33}"/>
            </c:ext>
          </c:extLst>
        </c:ser>
        <c:ser>
          <c:idx val="3"/>
          <c:order val="3"/>
          <c:tx>
            <c:strRef>
              <c:f>'ESP32 CPU '!$E$34</c:f>
              <c:strCache>
                <c:ptCount val="1"/>
                <c:pt idx="0">
                  <c:v>ConVB_CORE 1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'ESP32 CPU '!$A$35:$A$41</c:f>
              <c:strCache>
                <c:ptCount val="6"/>
                <c:pt idx="0">
                  <c:v>L1</c:v>
                </c:pt>
                <c:pt idx="1">
                  <c:v>L2</c:v>
                </c:pt>
                <c:pt idx="2">
                  <c:v>M1</c:v>
                </c:pt>
                <c:pt idx="3">
                  <c:v>M2</c:v>
                </c:pt>
                <c:pt idx="4">
                  <c:v>M4</c:v>
                </c:pt>
                <c:pt idx="5">
                  <c:v>M5</c:v>
                </c:pt>
              </c:strCache>
            </c:strRef>
          </c:cat>
          <c:val>
            <c:numRef>
              <c:f>'ESP32 CPU '!$E$35:$E$41</c:f>
              <c:numCache>
                <c:formatCode>General</c:formatCode>
                <c:ptCount val="7"/>
                <c:pt idx="0">
                  <c:v>9.8800000000000008</c:v>
                </c:pt>
                <c:pt idx="1">
                  <c:v>3.61</c:v>
                </c:pt>
                <c:pt idx="2">
                  <c:v>3.34</c:v>
                </c:pt>
                <c:pt idx="3">
                  <c:v>6.2</c:v>
                </c:pt>
                <c:pt idx="4">
                  <c:v>17.68</c:v>
                </c:pt>
                <c:pt idx="5">
                  <c:v>4.84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4AF-4775-B5BA-6D3043345F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57595008"/>
        <c:axId val="357592928"/>
      </c:barChart>
      <c:catAx>
        <c:axId val="3575950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Grupos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57592928"/>
        <c:crosses val="autoZero"/>
        <c:auto val="1"/>
        <c:lblAlgn val="ctr"/>
        <c:lblOffset val="100"/>
        <c:noMultiLvlLbl val="0"/>
      </c:catAx>
      <c:valAx>
        <c:axId val="357592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Uso de CPU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357595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Promedio total de uso de CPU considerando reposo y acción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'ESP32 CPU '!$B$44</c:f>
              <c:strCache>
                <c:ptCount val="1"/>
                <c:pt idx="0">
                  <c:v>Sin Vibecoding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'ESP32 CPU '!$A$45:$A$51</c:f>
              <c:strCache>
                <c:ptCount val="6"/>
                <c:pt idx="0">
                  <c:v>L1</c:v>
                </c:pt>
                <c:pt idx="1">
                  <c:v>L2</c:v>
                </c:pt>
                <c:pt idx="2">
                  <c:v>M1</c:v>
                </c:pt>
                <c:pt idx="3">
                  <c:v>M2</c:v>
                </c:pt>
                <c:pt idx="4">
                  <c:v>M4</c:v>
                </c:pt>
                <c:pt idx="5">
                  <c:v>M5</c:v>
                </c:pt>
              </c:strCache>
            </c:strRef>
          </c:cat>
          <c:val>
            <c:numRef>
              <c:f>'ESP32 CPU '!$B$45:$B$51</c:f>
              <c:numCache>
                <c:formatCode>0.00</c:formatCode>
                <c:ptCount val="7"/>
                <c:pt idx="0">
                  <c:v>4.8499999999999996</c:v>
                </c:pt>
                <c:pt idx="1">
                  <c:v>7.1674999999999995</c:v>
                </c:pt>
                <c:pt idx="2">
                  <c:v>39.047499999999999</c:v>
                </c:pt>
                <c:pt idx="3">
                  <c:v>4.75</c:v>
                </c:pt>
                <c:pt idx="4">
                  <c:v>27.994999999999997</c:v>
                </c:pt>
                <c:pt idx="5">
                  <c:v>3.77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C5-4351-AA5D-9925A5A0FB90}"/>
            </c:ext>
          </c:extLst>
        </c:ser>
        <c:ser>
          <c:idx val="1"/>
          <c:order val="1"/>
          <c:tx>
            <c:strRef>
              <c:f>'ESP32 CPU '!$C$44</c:f>
              <c:strCache>
                <c:ptCount val="1"/>
                <c:pt idx="0">
                  <c:v>Con Vibecoding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'ESP32 CPU '!$A$45:$A$51</c:f>
              <c:strCache>
                <c:ptCount val="6"/>
                <c:pt idx="0">
                  <c:v>L1</c:v>
                </c:pt>
                <c:pt idx="1">
                  <c:v>L2</c:v>
                </c:pt>
                <c:pt idx="2">
                  <c:v>M1</c:v>
                </c:pt>
                <c:pt idx="3">
                  <c:v>M2</c:v>
                </c:pt>
                <c:pt idx="4">
                  <c:v>M4</c:v>
                </c:pt>
                <c:pt idx="5">
                  <c:v>M5</c:v>
                </c:pt>
              </c:strCache>
            </c:strRef>
          </c:cat>
          <c:val>
            <c:numRef>
              <c:f>'ESP32 CPU '!$C$45:$C$51</c:f>
              <c:numCache>
                <c:formatCode>0.00</c:formatCode>
                <c:ptCount val="7"/>
                <c:pt idx="0">
                  <c:v>7.4250000000000007</c:v>
                </c:pt>
                <c:pt idx="1">
                  <c:v>5.3999999999999995</c:v>
                </c:pt>
                <c:pt idx="2">
                  <c:v>4.5999999999999996</c:v>
                </c:pt>
                <c:pt idx="3">
                  <c:v>4.2275</c:v>
                </c:pt>
                <c:pt idx="4">
                  <c:v>17.457499999999996</c:v>
                </c:pt>
                <c:pt idx="5">
                  <c:v>32.557499999999997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C5-4351-AA5D-9925A5A0FB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57016112"/>
        <c:axId val="1957017776"/>
      </c:barChart>
      <c:catAx>
        <c:axId val="19570161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Grupos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957017776"/>
        <c:crosses val="autoZero"/>
        <c:auto val="1"/>
        <c:lblAlgn val="ctr"/>
        <c:lblOffset val="100"/>
        <c:noMultiLvlLbl val="0"/>
      </c:catAx>
      <c:valAx>
        <c:axId val="1957017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Uso de CPU(%)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95701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Promedio</a:t>
            </a:r>
            <a:r>
              <a:rPr lang="es-AR" baseline="0"/>
              <a:t> general uso de CPU (%)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'ESP32 CPU '!$B$56</c:f>
              <c:strCache>
                <c:ptCount val="1"/>
                <c:pt idx="0">
                  <c:v>Sin VB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'ESP32 CPU '!$A$57:$A$60</c:f>
              <c:strCache>
                <c:ptCount val="4"/>
                <c:pt idx="0">
                  <c:v>Reposo CORE0</c:v>
                </c:pt>
                <c:pt idx="1">
                  <c:v>Reposo CORE1</c:v>
                </c:pt>
                <c:pt idx="2">
                  <c:v>Acción CORE0</c:v>
                </c:pt>
                <c:pt idx="3">
                  <c:v>Acción CORE1</c:v>
                </c:pt>
              </c:strCache>
            </c:strRef>
          </c:cat>
          <c:val>
            <c:numRef>
              <c:f>'ESP32 CPU '!$B$57:$B$60</c:f>
              <c:numCache>
                <c:formatCode>0.00</c:formatCode>
                <c:ptCount val="4"/>
                <c:pt idx="0">
                  <c:v>8.7583333333333346</c:v>
                </c:pt>
                <c:pt idx="1">
                  <c:v>20.181666666666668</c:v>
                </c:pt>
                <c:pt idx="2">
                  <c:v>6.2633333333333328</c:v>
                </c:pt>
                <c:pt idx="3">
                  <c:v>23.183333333333337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73-4F0E-9629-157211B935C4}"/>
            </c:ext>
          </c:extLst>
        </c:ser>
        <c:ser>
          <c:idx val="1"/>
          <c:order val="1"/>
          <c:tx>
            <c:strRef>
              <c:f>'ESP32 CPU '!$C$56</c:f>
              <c:strCache>
                <c:ptCount val="1"/>
                <c:pt idx="0">
                  <c:v>Con VB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'ESP32 CPU '!$A$57:$A$60</c:f>
              <c:strCache>
                <c:ptCount val="4"/>
                <c:pt idx="0">
                  <c:v>Reposo CORE0</c:v>
                </c:pt>
                <c:pt idx="1">
                  <c:v>Reposo CORE1</c:v>
                </c:pt>
                <c:pt idx="2">
                  <c:v>Acción CORE0</c:v>
                </c:pt>
                <c:pt idx="3">
                  <c:v>Acción CORE1</c:v>
                </c:pt>
              </c:strCache>
            </c:strRef>
          </c:cat>
          <c:val>
            <c:numRef>
              <c:f>'ESP32 CPU '!$C$57:$C$60</c:f>
              <c:numCache>
                <c:formatCode>0.00</c:formatCode>
                <c:ptCount val="4"/>
                <c:pt idx="0">
                  <c:v>7.7833333333333341</c:v>
                </c:pt>
                <c:pt idx="1">
                  <c:v>13.876666666666667</c:v>
                </c:pt>
                <c:pt idx="2">
                  <c:v>18.526666666666667</c:v>
                </c:pt>
                <c:pt idx="3">
                  <c:v>7.5916666666666659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73-4F0E-9629-157211B935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03754527"/>
        <c:axId val="1703756191"/>
      </c:radarChart>
      <c:catAx>
        <c:axId val="17037545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03756191"/>
        <c:crosses val="autoZero"/>
        <c:auto val="1"/>
        <c:lblAlgn val="ctr"/>
        <c:lblOffset val="100"/>
        <c:noMultiLvlLbl val="0"/>
      </c:catAx>
      <c:valAx>
        <c:axId val="1703756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03754527"/>
        <c:crosses val="autoZero"/>
        <c:crossBetween val="between"/>
        <c:majorUnit val="5"/>
        <c:min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Porcentaje</a:t>
            </a:r>
            <a:r>
              <a:rPr lang="es-AR" baseline="0"/>
              <a:t> de uso de memoria en reposo</a:t>
            </a:r>
            <a:endParaRPr lang="es-A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'ESP32 Memoria'!$B$24</c:f>
              <c:strCache>
                <c:ptCount val="1"/>
                <c:pt idx="0">
                  <c:v>SinVB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'ESP32 Memoria'!$A$25:$A$30</c:f>
              <c:strCache>
                <c:ptCount val="6"/>
                <c:pt idx="0">
                  <c:v>L1</c:v>
                </c:pt>
                <c:pt idx="1">
                  <c:v>L2</c:v>
                </c:pt>
                <c:pt idx="2">
                  <c:v>M1</c:v>
                </c:pt>
                <c:pt idx="3">
                  <c:v>M2</c:v>
                </c:pt>
                <c:pt idx="4">
                  <c:v>M4</c:v>
                </c:pt>
                <c:pt idx="5">
                  <c:v>M5</c:v>
                </c:pt>
              </c:strCache>
            </c:strRef>
          </c:cat>
          <c:val>
            <c:numRef>
              <c:f>'ESP32 Memoria'!$B$25:$B$30</c:f>
              <c:numCache>
                <c:formatCode>General</c:formatCode>
                <c:ptCount val="6"/>
                <c:pt idx="0">
                  <c:v>40.67</c:v>
                </c:pt>
                <c:pt idx="1">
                  <c:v>41.04</c:v>
                </c:pt>
                <c:pt idx="2">
                  <c:v>38.69</c:v>
                </c:pt>
                <c:pt idx="3">
                  <c:v>42.77</c:v>
                </c:pt>
                <c:pt idx="4">
                  <c:v>28.91</c:v>
                </c:pt>
                <c:pt idx="5">
                  <c:v>36.590000000000003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EA-497E-9F10-0E68989F4CE1}"/>
            </c:ext>
          </c:extLst>
        </c:ser>
        <c:ser>
          <c:idx val="1"/>
          <c:order val="1"/>
          <c:tx>
            <c:strRef>
              <c:f>'ESP32 Memoria'!$C$24</c:f>
              <c:strCache>
                <c:ptCount val="1"/>
                <c:pt idx="0">
                  <c:v>ConVB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'ESP32 Memoria'!$A$25:$A$30</c:f>
              <c:strCache>
                <c:ptCount val="6"/>
                <c:pt idx="0">
                  <c:v>L1</c:v>
                </c:pt>
                <c:pt idx="1">
                  <c:v>L2</c:v>
                </c:pt>
                <c:pt idx="2">
                  <c:v>M1</c:v>
                </c:pt>
                <c:pt idx="3">
                  <c:v>M2</c:v>
                </c:pt>
                <c:pt idx="4">
                  <c:v>M4</c:v>
                </c:pt>
                <c:pt idx="5">
                  <c:v>M5</c:v>
                </c:pt>
              </c:strCache>
            </c:strRef>
          </c:cat>
          <c:val>
            <c:numRef>
              <c:f>'ESP32 Memoria'!$C$25:$C$30</c:f>
              <c:numCache>
                <c:formatCode>General</c:formatCode>
                <c:ptCount val="6"/>
                <c:pt idx="0">
                  <c:v>17.43</c:v>
                </c:pt>
                <c:pt idx="1">
                  <c:v>33.78</c:v>
                </c:pt>
                <c:pt idx="2">
                  <c:v>37.36</c:v>
                </c:pt>
                <c:pt idx="3">
                  <c:v>38.39</c:v>
                </c:pt>
                <c:pt idx="4">
                  <c:v>30.51</c:v>
                </c:pt>
                <c:pt idx="5">
                  <c:v>36.81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EA-497E-9F10-0E68989F4C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14013359"/>
        <c:axId val="1510836863"/>
      </c:barChart>
      <c:catAx>
        <c:axId val="151401335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Grupos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510836863"/>
        <c:crosses val="autoZero"/>
        <c:auto val="1"/>
        <c:lblAlgn val="ctr"/>
        <c:lblOffset val="100"/>
        <c:noMultiLvlLbl val="0"/>
      </c:catAx>
      <c:valAx>
        <c:axId val="1510836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Uso de memoria</a:t>
                </a:r>
                <a:r>
                  <a:rPr lang="es-AR" baseline="0"/>
                  <a:t> (%)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514013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Porcentaje uso de memoria realizando</a:t>
            </a:r>
          </a:p>
          <a:p>
            <a:pPr>
              <a:defRPr/>
            </a:pPr>
            <a:r>
              <a:rPr lang="es-AR" baseline="0"/>
              <a:t> una</a:t>
            </a:r>
            <a:r>
              <a:rPr lang="es-AR"/>
              <a:t> acción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'ESP32 Memoria'!$B$34</c:f>
              <c:strCache>
                <c:ptCount val="1"/>
                <c:pt idx="0">
                  <c:v>SinVB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'ESP32 Memoria'!$A$35:$A$40</c:f>
              <c:strCache>
                <c:ptCount val="6"/>
                <c:pt idx="0">
                  <c:v>L1</c:v>
                </c:pt>
                <c:pt idx="1">
                  <c:v>L2</c:v>
                </c:pt>
                <c:pt idx="2">
                  <c:v>M1</c:v>
                </c:pt>
                <c:pt idx="3">
                  <c:v>M2</c:v>
                </c:pt>
                <c:pt idx="4">
                  <c:v>M4</c:v>
                </c:pt>
                <c:pt idx="5">
                  <c:v>M5</c:v>
                </c:pt>
              </c:strCache>
            </c:strRef>
          </c:cat>
          <c:val>
            <c:numRef>
              <c:f>'ESP32 Memoria'!$B$35:$B$40</c:f>
              <c:numCache>
                <c:formatCode>General</c:formatCode>
                <c:ptCount val="6"/>
                <c:pt idx="0">
                  <c:v>39.67</c:v>
                </c:pt>
                <c:pt idx="1">
                  <c:v>43.73</c:v>
                </c:pt>
                <c:pt idx="2">
                  <c:v>38.83</c:v>
                </c:pt>
                <c:pt idx="3">
                  <c:v>43.04</c:v>
                </c:pt>
                <c:pt idx="4">
                  <c:v>29.88</c:v>
                </c:pt>
                <c:pt idx="5">
                  <c:v>37.450000000000003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39-4BC3-A5F9-CACF86B8F338}"/>
            </c:ext>
          </c:extLst>
        </c:ser>
        <c:ser>
          <c:idx val="1"/>
          <c:order val="1"/>
          <c:tx>
            <c:strRef>
              <c:f>'ESP32 Memoria'!$C$34</c:f>
              <c:strCache>
                <c:ptCount val="1"/>
                <c:pt idx="0">
                  <c:v>ConVB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'ESP32 Memoria'!$A$35:$A$40</c:f>
              <c:strCache>
                <c:ptCount val="6"/>
                <c:pt idx="0">
                  <c:v>L1</c:v>
                </c:pt>
                <c:pt idx="1">
                  <c:v>L2</c:v>
                </c:pt>
                <c:pt idx="2">
                  <c:v>M1</c:v>
                </c:pt>
                <c:pt idx="3">
                  <c:v>M2</c:v>
                </c:pt>
                <c:pt idx="4">
                  <c:v>M4</c:v>
                </c:pt>
                <c:pt idx="5">
                  <c:v>M5</c:v>
                </c:pt>
              </c:strCache>
            </c:strRef>
          </c:cat>
          <c:val>
            <c:numRef>
              <c:f>'ESP32 Memoria'!$C$35:$C$40</c:f>
              <c:numCache>
                <c:formatCode>General</c:formatCode>
                <c:ptCount val="6"/>
                <c:pt idx="0">
                  <c:v>18.920000000000002</c:v>
                </c:pt>
                <c:pt idx="1">
                  <c:v>35.18</c:v>
                </c:pt>
                <c:pt idx="2">
                  <c:v>37.86</c:v>
                </c:pt>
                <c:pt idx="3">
                  <c:v>39.32</c:v>
                </c:pt>
                <c:pt idx="4">
                  <c:v>31.9</c:v>
                </c:pt>
                <c:pt idx="5">
                  <c:v>37.340000000000003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39-4BC3-A5F9-CACF86B8F3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4142703"/>
        <c:axId val="1864143951"/>
      </c:barChart>
      <c:catAx>
        <c:axId val="186414270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Grupos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864143951"/>
        <c:crosses val="autoZero"/>
        <c:auto val="1"/>
        <c:lblAlgn val="ctr"/>
        <c:lblOffset val="100"/>
        <c:noMultiLvlLbl val="0"/>
      </c:catAx>
      <c:valAx>
        <c:axId val="1864143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Uso de memoria(%)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864142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Promedio total de uso de memoria considerando </a:t>
            </a:r>
          </a:p>
          <a:p>
            <a:pPr>
              <a:defRPr/>
            </a:pPr>
            <a:r>
              <a:rPr lang="es-AR"/>
              <a:t>reposo y  acción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'ESP32 Memoria'!$B$44</c:f>
              <c:strCache>
                <c:ptCount val="1"/>
                <c:pt idx="0">
                  <c:v>Sin Vibecoding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'ESP32 Memoria'!$A$45:$A$50</c:f>
              <c:strCache>
                <c:ptCount val="6"/>
                <c:pt idx="0">
                  <c:v>L1</c:v>
                </c:pt>
                <c:pt idx="1">
                  <c:v>L2</c:v>
                </c:pt>
                <c:pt idx="2">
                  <c:v>M1</c:v>
                </c:pt>
                <c:pt idx="3">
                  <c:v>M2</c:v>
                </c:pt>
                <c:pt idx="4">
                  <c:v>M4</c:v>
                </c:pt>
                <c:pt idx="5">
                  <c:v>M5</c:v>
                </c:pt>
              </c:strCache>
            </c:strRef>
          </c:cat>
          <c:val>
            <c:numRef>
              <c:f>'ESP32 Memoria'!$B$45:$B$50</c:f>
              <c:numCache>
                <c:formatCode>0.00</c:formatCode>
                <c:ptCount val="6"/>
                <c:pt idx="0">
                  <c:v>38.439166666666672</c:v>
                </c:pt>
                <c:pt idx="1">
                  <c:v>38.093000000000004</c:v>
                </c:pt>
                <c:pt idx="2">
                  <c:v>37.020000000000003</c:v>
                </c:pt>
                <c:pt idx="3">
                  <c:v>36.44</c:v>
                </c:pt>
                <c:pt idx="4">
                  <c:v>33.207499999999996</c:v>
                </c:pt>
                <c:pt idx="5">
                  <c:v>38.037291666666668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84-4735-A6EB-8C1060815625}"/>
            </c:ext>
          </c:extLst>
        </c:ser>
        <c:ser>
          <c:idx val="1"/>
          <c:order val="1"/>
          <c:tx>
            <c:strRef>
              <c:f>'ESP32 Memoria'!$C$44</c:f>
              <c:strCache>
                <c:ptCount val="1"/>
                <c:pt idx="0">
                  <c:v>Con Vibecoding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'ESP32 Memoria'!$A$45:$A$50</c:f>
              <c:strCache>
                <c:ptCount val="6"/>
                <c:pt idx="0">
                  <c:v>L1</c:v>
                </c:pt>
                <c:pt idx="1">
                  <c:v>L2</c:v>
                </c:pt>
                <c:pt idx="2">
                  <c:v>M1</c:v>
                </c:pt>
                <c:pt idx="3">
                  <c:v>M2</c:v>
                </c:pt>
                <c:pt idx="4">
                  <c:v>M4</c:v>
                </c:pt>
                <c:pt idx="5">
                  <c:v>M5</c:v>
                </c:pt>
              </c:strCache>
            </c:strRef>
          </c:cat>
          <c:val>
            <c:numRef>
              <c:f>'ESP32 Memoria'!$C$45:$C$50</c:f>
              <c:numCache>
                <c:formatCode>0.00</c:formatCode>
                <c:ptCount val="6"/>
                <c:pt idx="0">
                  <c:v>32.9</c:v>
                </c:pt>
                <c:pt idx="1">
                  <c:v>35.844999999999992</c:v>
                </c:pt>
                <c:pt idx="2">
                  <c:v>36.186250000000001</c:v>
                </c:pt>
                <c:pt idx="3">
                  <c:v>35.711666666666666</c:v>
                </c:pt>
                <c:pt idx="4">
                  <c:v>34.14</c:v>
                </c:pt>
                <c:pt idx="5">
                  <c:v>31.4925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84-4735-A6EB-8C10608156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89616783"/>
        <c:axId val="1789617199"/>
      </c:barChart>
      <c:catAx>
        <c:axId val="178961678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Grupos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89617199"/>
        <c:crosses val="autoZero"/>
        <c:auto val="1"/>
        <c:lblAlgn val="ctr"/>
        <c:lblOffset val="100"/>
        <c:noMultiLvlLbl val="0"/>
      </c:catAx>
      <c:valAx>
        <c:axId val="1789617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Uso de memoria(%)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78961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0</xdr:row>
      <xdr:rowOff>165100</xdr:rowOff>
    </xdr:from>
    <xdr:to>
      <xdr:col>7</xdr:col>
      <xdr:colOff>12700</xdr:colOff>
      <xdr:row>15</xdr:row>
      <xdr:rowOff>146050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392CE9C7-8BEB-4F07-BE52-72C2CD0BF8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146050</xdr:colOff>
      <xdr:row>0</xdr:row>
      <xdr:rowOff>177800</xdr:rowOff>
    </xdr:from>
    <xdr:to>
      <xdr:col>13</xdr:col>
      <xdr:colOff>146050</xdr:colOff>
      <xdr:row>15</xdr:row>
      <xdr:rowOff>158750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097887C7-ECE8-4B2B-B687-D7F55A64C6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345722</xdr:colOff>
      <xdr:row>0</xdr:row>
      <xdr:rowOff>127001</xdr:rowOff>
    </xdr:from>
    <xdr:to>
      <xdr:col>18</xdr:col>
      <xdr:colOff>206022</xdr:colOff>
      <xdr:row>15</xdr:row>
      <xdr:rowOff>108656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D269A2AD-2D1E-4208-A7C4-3D3C195486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0</xdr:colOff>
      <xdr:row>17</xdr:row>
      <xdr:rowOff>0</xdr:rowOff>
    </xdr:from>
    <xdr:to>
      <xdr:col>7</xdr:col>
      <xdr:colOff>0</xdr:colOff>
      <xdr:row>31</xdr:row>
      <xdr:rowOff>174978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01BC45E7-676B-4239-B54B-EF6B0146B4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171450</xdr:rowOff>
    </xdr:from>
    <xdr:to>
      <xdr:col>7</xdr:col>
      <xdr:colOff>0</xdr:colOff>
      <xdr:row>16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E1EF61C-8216-4575-9D56-E20D63946D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2</xdr:row>
      <xdr:rowOff>0</xdr:rowOff>
    </xdr:from>
    <xdr:to>
      <xdr:col>14</xdr:col>
      <xdr:colOff>0</xdr:colOff>
      <xdr:row>16</xdr:row>
      <xdr:rowOff>165100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0935F21-2A19-4CE1-A223-F04FB0E99A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0</xdr:colOff>
      <xdr:row>2</xdr:row>
      <xdr:rowOff>0</xdr:rowOff>
    </xdr:from>
    <xdr:to>
      <xdr:col>21</xdr:col>
      <xdr:colOff>0</xdr:colOff>
      <xdr:row>16</xdr:row>
      <xdr:rowOff>165100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D855DFF-656F-4798-A190-D59DD6D331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0F09E3D-192F-45C1-97BD-FA9ADFEE6B1C}" name="Tiempos5" displayName="Tiempos5" ref="A3:F10">
  <tableColumns count="6">
    <tableColumn id="1" xr3:uid="{F09EC2B5-1E4F-49FB-80FD-6E46F11FE853}" name="Grupo"/>
    <tableColumn id="2" xr3:uid="{C60EB58C-3A6C-46EF-AA76-2D01B61F3750}" name="Resposo CORE 0"/>
    <tableColumn id="3" xr3:uid="{F96B62C5-1D47-4FD6-9B52-7819643D76A4}" name="Resposo CORE 1"/>
    <tableColumn id="14" xr3:uid="{8E89EB9E-F773-4603-AEAC-19310768E756}" name="Descripcion de la acción" dataDxfId="15">
      <calculatedColumnFormula>SUM(#REF!)</calculatedColumnFormula>
    </tableColumn>
    <tableColumn id="4" xr3:uid="{71FD94C5-F335-493C-8013-E14547F81092}" name="Acción CORE 0"/>
    <tableColumn id="5" xr3:uid="{F6CB0194-C752-447A-BAC1-7B387120F76E}" name="Acción CORE 1"/>
  </tableColumns>
  <tableStyleInfo name="Tiempos ESP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5D70F71-DC1C-4927-A9B7-989C42ACE714}" name="Tiempos36" displayName="Tiempos36" ref="A13:F20">
  <tableColumns count="6">
    <tableColumn id="1" xr3:uid="{596D405E-1EC9-41CA-AFAD-9476F19905C8}" name="Grupo"/>
    <tableColumn id="2" xr3:uid="{5D41D866-3CE0-42E9-A73C-452BCF805505}" name="Resposo CORE 0"/>
    <tableColumn id="3" xr3:uid="{7DB76A46-1851-4D55-91DF-64FBFB13F558}" name="Resposo CORE 1"/>
    <tableColumn id="14" xr3:uid="{64EBC5A8-8300-49CF-8B07-8D1A68BF281A}" name="Descripcion de la acción" dataDxfId="14">
      <calculatedColumnFormula>SUM(#REF!)</calculatedColumnFormula>
    </tableColumn>
    <tableColumn id="4" xr3:uid="{483E1772-CBA0-48F7-A8DB-C33E81CD11F9}" name="Acción CORE 0"/>
    <tableColumn id="5" xr3:uid="{23344B89-3CB1-495F-A789-D309F2FBAF93}" name="Acción CORE 1"/>
  </tableColumns>
  <tableStyleInfo name="Tiempos ESP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4DA0DE5-5616-4F0E-993A-F082FE539B68}" name="Tiempos54" displayName="Tiempos54" ref="A44:C51">
  <tableColumns count="3">
    <tableColumn id="1" xr3:uid="{42DA1868-D646-46ED-96F6-FEBAB8DE4F37}" name="Grupo"/>
    <tableColumn id="2" xr3:uid="{6AC8CD5F-7519-43CF-B24B-EC59848A654B}" name="Sin Vibecoding" dataDxfId="13">
      <calculatedColumnFormula>AVERAGE(B25:E25)</calculatedColumnFormula>
    </tableColumn>
    <tableColumn id="5" xr3:uid="{586CAB75-CCCE-4A28-91AA-3A74055B4424}" name="Con Vibecoding" dataDxfId="12">
      <calculatedColumnFormula>AVERAGE(D25:E25,D35:E35)</calculatedColumnFormula>
    </tableColumn>
  </tableColumns>
  <tableStyleInfo name="Tiempos ESP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7B3DF46-AA00-48A4-9F5B-FD69211BCFC4}" name="Tiempos511" displayName="Tiempos511" ref="A24:E32">
  <tableColumns count="5">
    <tableColumn id="1" xr3:uid="{E9028730-0D4D-4905-9F4A-AABB867E5219}" name="Grupo"/>
    <tableColumn id="2" xr3:uid="{4CE4CABB-9E50-4703-90C0-9E7A02679874}" name="SinVB_CORE 0"/>
    <tableColumn id="3" xr3:uid="{7ACAC6D1-C2C4-44C6-AA04-05B3512E59BD}" name="SinVB_CORE 1" dataDxfId="11">
      <calculatedColumnFormula>VALUE(C4)</calculatedColumnFormula>
    </tableColumn>
    <tableColumn id="4" xr3:uid="{E4C44D63-136F-418A-865D-847A0648A233}" name="ConVB_CORE 0" dataDxfId="10">
      <calculatedColumnFormula>VALUE(E4)</calculatedColumnFormula>
    </tableColumn>
    <tableColumn id="5" xr3:uid="{4573FE47-9DC5-4136-844E-5E98E4646624}" name="ConVB_CORE 1" dataDxfId="9">
      <calculatedColumnFormula>VALUE(F4)</calculatedColumnFormula>
    </tableColumn>
  </tableColumns>
  <tableStyleInfo name="Tiempos ESP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598DED51-F153-410D-80B0-DAE9E2A69DED}" name="Tiempos3612" displayName="Tiempos3612" ref="A34:E41">
  <tableColumns count="5">
    <tableColumn id="1" xr3:uid="{ACADEDD8-A21A-44D1-ADFD-47CE5F6FB2AF}" name="Grupo"/>
    <tableColumn id="2" xr3:uid="{F7ABB670-1BEE-4D76-AF52-F8D1EDCB8441}" name="SinVB_CORE 0" dataDxfId="8">
      <calculatedColumnFormula>VALUE(E4)</calculatedColumnFormula>
    </tableColumn>
    <tableColumn id="3" xr3:uid="{EE2A3E22-9378-4ADD-8B90-1D0373482538}" name="SinVB_CORE 1" dataDxfId="7">
      <calculatedColumnFormula>VALUE(F4)</calculatedColumnFormula>
    </tableColumn>
    <tableColumn id="4" xr3:uid="{86295ADA-DFC6-4982-8EFB-04F501062DBC}" name="ConVB_CORE 0" dataDxfId="6">
      <calculatedColumnFormula>VALUE(E14)</calculatedColumnFormula>
    </tableColumn>
    <tableColumn id="5" xr3:uid="{79B65C45-63AB-491A-9A63-E87A4486F901}" name="ConVB_CORE 1" dataDxfId="5">
      <calculatedColumnFormula>VALUE(F14)</calculatedColumnFormula>
    </tableColumn>
  </tableColumns>
  <tableStyleInfo name="Tiempos ESP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9B2C890-BAE8-417C-BA10-7BFE72224099}" name="Tiempos" displayName="Tiempos" ref="A3:D10">
  <tableColumns count="4">
    <tableColumn id="1" xr3:uid="{82DA2725-6ECD-4A2F-9D03-DE57049BC492}" name="Grupo"/>
    <tableColumn id="2" xr3:uid="{3B90950D-FBBE-4A15-BA4D-B9EF86F9F588}" name="Reposo"/>
    <tableColumn id="14" xr3:uid="{2424B525-EE0B-4234-8F90-31A6CC2DD879}" name="Descripcion de la acción" dataDxfId="4">
      <calculatedColumnFormula>SUM(#REF!)</calculatedColumnFormula>
    </tableColumn>
    <tableColumn id="5" xr3:uid="{421850B3-B0A1-48AD-8AD4-D5D636D1746C}" name="Acción"/>
  </tableColumns>
  <tableStyleInfo name="Tiempos ESP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CA0811-89E1-4CAE-9A01-DF9BB5401C0F}" name="Tiempos3" displayName="Tiempos3" ref="A13:D20">
  <tableColumns count="4">
    <tableColumn id="1" xr3:uid="{37EE5CF3-1C14-45A1-AF0A-734AC6E88609}" name="Grupo"/>
    <tableColumn id="3" xr3:uid="{D3FC9E03-1231-4088-8764-655AD4A8ABD6}" name="Resposo"/>
    <tableColumn id="14" xr3:uid="{99FBCCFA-B372-4C53-8D48-D0B58E2243E9}" name="Descripcion de la acción" dataDxfId="3">
      <calculatedColumnFormula>SUM(#REF!)</calculatedColumnFormula>
    </tableColumn>
    <tableColumn id="5" xr3:uid="{8FDCFF5E-BAD6-4D7B-B479-270C95F52D0F}" name="Acción"/>
  </tableColumns>
  <tableStyleInfo name="Tiempos ESP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FB4ED31-82C9-427D-96AF-4FDB0AE99B20}" name="Tiempos51110" displayName="Tiempos51110" ref="A24:C32">
  <tableColumns count="3">
    <tableColumn id="1" xr3:uid="{5E149ADB-51C5-4C20-9B0E-BF5BEFB23295}" name="Grupo"/>
    <tableColumn id="2" xr3:uid="{DD6CC6B0-3B21-4A2E-8F82-6135E2F10853}" name="SinVB"/>
    <tableColumn id="4" xr3:uid="{1CBD36CD-86B3-44E6-AE26-78C873FDE0A6}" name="ConVB" dataDxfId="2">
      <calculatedColumnFormula>VALUE(E4)</calculatedColumnFormula>
    </tableColumn>
  </tableColumns>
  <tableStyleInfo name="Tiempos ESP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B9BDA72-B6CA-460F-ABBF-52939F60AE81}" name="Tiempos5414" displayName="Tiempos5414" ref="A44:C51">
  <tableColumns count="3">
    <tableColumn id="1" xr3:uid="{BF18763F-0499-4170-8809-6A0FA2B9AE14}" name="Grupo"/>
    <tableColumn id="2" xr3:uid="{841A7B45-2FB3-4CBC-B8DD-904EE01FCEF2}" name="Sin Vibecoding" dataDxfId="1">
      <calculatedColumnFormula>AVERAGE(B25:B30,B35:B40)</calculatedColumnFormula>
    </tableColumn>
    <tableColumn id="5" xr3:uid="{E29E66E8-83E0-424E-A75E-56B9D8F14043}" name="Con Vibecoding" dataDxfId="0">
      <calculatedColumnFormula>AVERAGE(C25:C30,C35:C40)</calculatedColumnFormula>
    </tableColumn>
  </tableColumns>
  <tableStyleInfo name="Tiempos ESP-style" showFirstColumn="1" showLastColumn="1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Relationship Id="rId4" Type="http://schemas.openxmlformats.org/officeDocument/2006/relationships/table" Target="../tables/table9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E27DFE-A574-4ECC-B51C-DB831A4CE02D}">
  <dimension ref="A1:F60"/>
  <sheetViews>
    <sheetView topLeftCell="A44" workbookViewId="0">
      <selection activeCell="A44" sqref="A44"/>
    </sheetView>
  </sheetViews>
  <sheetFormatPr baseColWidth="10" defaultColWidth="8.7265625" defaultRowHeight="14.5" x14ac:dyDescent="0.35"/>
  <cols>
    <col min="2" max="2" width="22.6328125" customWidth="1"/>
    <col min="3" max="3" width="20.1796875" customWidth="1"/>
    <col min="4" max="4" width="27.26953125" customWidth="1"/>
    <col min="5" max="5" width="17.54296875" customWidth="1"/>
    <col min="6" max="6" width="27" customWidth="1"/>
    <col min="8" max="8" width="19.81640625" customWidth="1"/>
  </cols>
  <sheetData>
    <row r="1" spans="1:6" x14ac:dyDescent="0.35">
      <c r="A1" s="21" t="s">
        <v>23</v>
      </c>
      <c r="B1" s="21"/>
      <c r="C1" s="21"/>
      <c r="D1" s="21"/>
      <c r="E1" s="21"/>
      <c r="F1" s="21"/>
    </row>
    <row r="2" spans="1:6" x14ac:dyDescent="0.35">
      <c r="A2" s="20" t="s">
        <v>14</v>
      </c>
      <c r="B2" s="20"/>
      <c r="C2" s="20"/>
      <c r="D2" s="20"/>
      <c r="E2" s="20"/>
      <c r="F2" s="20"/>
    </row>
    <row r="3" spans="1:6" x14ac:dyDescent="0.35">
      <c r="A3" s="1" t="s">
        <v>0</v>
      </c>
      <c r="B3" t="s">
        <v>11</v>
      </c>
      <c r="C3" t="s">
        <v>10</v>
      </c>
      <c r="D3" s="4" t="s">
        <v>7</v>
      </c>
      <c r="E3" t="s">
        <v>12</v>
      </c>
      <c r="F3" t="s">
        <v>9</v>
      </c>
    </row>
    <row r="4" spans="1:6" x14ac:dyDescent="0.35">
      <c r="A4" s="7" t="s">
        <v>1</v>
      </c>
      <c r="B4" s="14">
        <v>4.37</v>
      </c>
      <c r="C4" s="9">
        <v>7.19</v>
      </c>
      <c r="D4" s="8" t="s">
        <v>8</v>
      </c>
      <c r="E4" s="11">
        <v>4.33</v>
      </c>
      <c r="F4" s="11">
        <v>3.51</v>
      </c>
    </row>
    <row r="5" spans="1:6" x14ac:dyDescent="0.35">
      <c r="A5" s="7" t="s">
        <v>2</v>
      </c>
      <c r="B5" s="14">
        <v>8.9600000000000009</v>
      </c>
      <c r="C5" s="13">
        <v>13.4</v>
      </c>
      <c r="D5" s="6" t="s">
        <v>17</v>
      </c>
      <c r="E5" s="11">
        <v>2.56</v>
      </c>
      <c r="F5" s="11">
        <v>3.75</v>
      </c>
    </row>
    <row r="6" spans="1:6" x14ac:dyDescent="0.35">
      <c r="A6" s="7" t="s">
        <v>3</v>
      </c>
      <c r="B6" s="14">
        <v>3.39</v>
      </c>
      <c r="C6" s="13">
        <v>60.99</v>
      </c>
      <c r="D6" s="6" t="s">
        <v>18</v>
      </c>
      <c r="E6" s="11">
        <v>2.02</v>
      </c>
      <c r="F6" s="11">
        <v>89.79</v>
      </c>
    </row>
    <row r="7" spans="1:6" x14ac:dyDescent="0.35">
      <c r="A7" s="7" t="s">
        <v>4</v>
      </c>
      <c r="B7" s="14">
        <v>4.32</v>
      </c>
      <c r="C7" s="13">
        <v>5.23</v>
      </c>
      <c r="D7" s="6" t="s">
        <v>19</v>
      </c>
      <c r="E7" s="11">
        <v>4.24</v>
      </c>
      <c r="F7" s="11">
        <v>5.21</v>
      </c>
    </row>
    <row r="8" spans="1:6" x14ac:dyDescent="0.35">
      <c r="A8" s="7" t="s">
        <v>5</v>
      </c>
      <c r="B8" s="14">
        <v>25.01</v>
      </c>
      <c r="C8" s="11">
        <v>28.91</v>
      </c>
      <c r="D8" s="6" t="s">
        <v>21</v>
      </c>
      <c r="E8" s="11">
        <v>21.58</v>
      </c>
      <c r="F8" s="11">
        <v>36.479999999999997</v>
      </c>
    </row>
    <row r="9" spans="1:6" x14ac:dyDescent="0.35">
      <c r="A9" s="7" t="s">
        <v>6</v>
      </c>
      <c r="B9" s="14">
        <v>6.5</v>
      </c>
      <c r="C9" s="13">
        <v>5.37</v>
      </c>
      <c r="D9" s="6" t="s">
        <v>22</v>
      </c>
      <c r="E9" s="11">
        <v>2.85</v>
      </c>
      <c r="F9" s="11">
        <v>0.36</v>
      </c>
    </row>
    <row r="10" spans="1:6" x14ac:dyDescent="0.35">
      <c r="A10" s="2"/>
      <c r="B10" s="2"/>
      <c r="C10" s="2"/>
      <c r="D10" s="3"/>
      <c r="E10" s="2"/>
      <c r="F10" s="2"/>
    </row>
    <row r="12" spans="1:6" x14ac:dyDescent="0.35">
      <c r="A12" s="20" t="s">
        <v>13</v>
      </c>
      <c r="B12" s="20"/>
      <c r="C12" s="20"/>
      <c r="D12" s="20"/>
      <c r="E12" s="20"/>
      <c r="F12" s="20"/>
    </row>
    <row r="13" spans="1:6" x14ac:dyDescent="0.35">
      <c r="A13" s="1" t="s">
        <v>0</v>
      </c>
      <c r="B13" t="s">
        <v>11</v>
      </c>
      <c r="C13" t="s">
        <v>10</v>
      </c>
      <c r="D13" s="4" t="s">
        <v>7</v>
      </c>
      <c r="E13" t="s">
        <v>12</v>
      </c>
      <c r="F13" t="s">
        <v>9</v>
      </c>
    </row>
    <row r="14" spans="1:6" x14ac:dyDescent="0.35">
      <c r="A14" s="7" t="s">
        <v>1</v>
      </c>
      <c r="B14" s="11">
        <v>5.01</v>
      </c>
      <c r="C14" s="15">
        <v>11.2</v>
      </c>
      <c r="D14" s="8" t="s">
        <v>8</v>
      </c>
      <c r="E14" s="11">
        <v>3.61</v>
      </c>
      <c r="F14" s="11">
        <v>9.8800000000000008</v>
      </c>
    </row>
    <row r="15" spans="1:6" x14ac:dyDescent="0.35">
      <c r="A15" s="7" t="s">
        <v>2</v>
      </c>
      <c r="B15" s="11">
        <v>8.27</v>
      </c>
      <c r="C15" s="13">
        <v>7.98</v>
      </c>
      <c r="D15" s="6" t="s">
        <v>17</v>
      </c>
      <c r="E15" s="11">
        <v>1.74</v>
      </c>
      <c r="F15" s="11">
        <v>3.61</v>
      </c>
    </row>
    <row r="16" spans="1:6" x14ac:dyDescent="0.35">
      <c r="A16" s="7" t="s">
        <v>3</v>
      </c>
      <c r="B16" s="11">
        <v>6.22</v>
      </c>
      <c r="C16" s="13">
        <v>4.8499999999999996</v>
      </c>
      <c r="D16" s="6" t="s">
        <v>18</v>
      </c>
      <c r="E16" s="11">
        <v>3.99</v>
      </c>
      <c r="F16" s="11">
        <v>3.34</v>
      </c>
    </row>
    <row r="17" spans="1:6" x14ac:dyDescent="0.35">
      <c r="A17" s="7" t="s">
        <v>4</v>
      </c>
      <c r="B17" s="11">
        <v>2.2599999999999998</v>
      </c>
      <c r="C17" s="13">
        <v>6.28</v>
      </c>
      <c r="D17" s="6" t="s">
        <v>19</v>
      </c>
      <c r="E17" s="11">
        <v>2.17</v>
      </c>
      <c r="F17" s="11">
        <v>6.2</v>
      </c>
    </row>
    <row r="18" spans="1:6" x14ac:dyDescent="0.35">
      <c r="A18" s="7" t="s">
        <v>5</v>
      </c>
      <c r="B18" s="11">
        <v>18.350000000000001</v>
      </c>
      <c r="C18" s="13">
        <v>17.559999999999999</v>
      </c>
      <c r="D18" s="6" t="s">
        <v>21</v>
      </c>
      <c r="E18" s="16">
        <v>16.239999999999998</v>
      </c>
      <c r="F18" s="17">
        <v>17.68</v>
      </c>
    </row>
    <row r="19" spans="1:6" x14ac:dyDescent="0.35">
      <c r="A19" s="7" t="s">
        <v>6</v>
      </c>
      <c r="B19" s="11">
        <v>6.59</v>
      </c>
      <c r="C19" s="13">
        <v>35.39</v>
      </c>
      <c r="D19" s="6" t="s">
        <v>22</v>
      </c>
      <c r="E19" s="11">
        <v>83.41</v>
      </c>
      <c r="F19" s="11">
        <v>4.84</v>
      </c>
    </row>
    <row r="20" spans="1:6" x14ac:dyDescent="0.35">
      <c r="A20" s="2"/>
      <c r="B20" s="2"/>
      <c r="C20" s="2"/>
      <c r="D20" s="3"/>
      <c r="E20" s="2"/>
      <c r="F20" s="2"/>
    </row>
    <row r="22" spans="1:6" x14ac:dyDescent="0.35">
      <c r="A22" s="21" t="s">
        <v>36</v>
      </c>
      <c r="B22" s="21"/>
      <c r="C22" s="21"/>
      <c r="D22" s="21"/>
      <c r="E22" s="21"/>
      <c r="F22" s="21"/>
    </row>
    <row r="23" spans="1:6" x14ac:dyDescent="0.35">
      <c r="A23" s="20" t="s">
        <v>32</v>
      </c>
      <c r="B23" s="20"/>
      <c r="C23" s="20"/>
      <c r="D23" s="20"/>
      <c r="E23" s="20"/>
      <c r="F23" s="20"/>
    </row>
    <row r="24" spans="1:6" x14ac:dyDescent="0.35">
      <c r="A24" s="1" t="s">
        <v>0</v>
      </c>
      <c r="B24" t="s">
        <v>30</v>
      </c>
      <c r="C24" t="s">
        <v>31</v>
      </c>
      <c r="D24" t="s">
        <v>33</v>
      </c>
      <c r="E24" t="s">
        <v>34</v>
      </c>
    </row>
    <row r="25" spans="1:6" x14ac:dyDescent="0.35">
      <c r="A25" s="7" t="s">
        <v>1</v>
      </c>
      <c r="B25" s="14">
        <f>VALUE(B4)</f>
        <v>4.37</v>
      </c>
      <c r="C25" s="14">
        <f t="shared" ref="C25:C30" si="0">VALUE(C4)</f>
        <v>7.19</v>
      </c>
      <c r="D25" s="14">
        <f>VALUE(B14)</f>
        <v>5.01</v>
      </c>
      <c r="E25" s="14">
        <f t="shared" ref="E25:E30" si="1">VALUE(C14)</f>
        <v>11.2</v>
      </c>
    </row>
    <row r="26" spans="1:6" x14ac:dyDescent="0.35">
      <c r="A26" s="7" t="s">
        <v>2</v>
      </c>
      <c r="B26" s="14">
        <f t="shared" ref="B26:B30" si="2">VALUE(B5)</f>
        <v>8.9600000000000009</v>
      </c>
      <c r="C26" s="14">
        <f t="shared" si="0"/>
        <v>13.4</v>
      </c>
      <c r="D26" s="14">
        <f t="shared" ref="D26:D30" si="3">VALUE(B15)</f>
        <v>8.27</v>
      </c>
      <c r="E26" s="14">
        <f t="shared" si="1"/>
        <v>7.98</v>
      </c>
    </row>
    <row r="27" spans="1:6" x14ac:dyDescent="0.35">
      <c r="A27" s="7" t="s">
        <v>3</v>
      </c>
      <c r="B27" s="14">
        <f t="shared" si="2"/>
        <v>3.39</v>
      </c>
      <c r="C27" s="14">
        <f t="shared" si="0"/>
        <v>60.99</v>
      </c>
      <c r="D27" s="14">
        <f t="shared" si="3"/>
        <v>6.22</v>
      </c>
      <c r="E27" s="14">
        <f t="shared" si="1"/>
        <v>4.8499999999999996</v>
      </c>
    </row>
    <row r="28" spans="1:6" x14ac:dyDescent="0.35">
      <c r="A28" s="7" t="s">
        <v>4</v>
      </c>
      <c r="B28" s="14">
        <f t="shared" si="2"/>
        <v>4.32</v>
      </c>
      <c r="C28" s="14">
        <f t="shared" si="0"/>
        <v>5.23</v>
      </c>
      <c r="D28" s="14">
        <f t="shared" si="3"/>
        <v>2.2599999999999998</v>
      </c>
      <c r="E28" s="14">
        <f t="shared" si="1"/>
        <v>6.28</v>
      </c>
    </row>
    <row r="29" spans="1:6" x14ac:dyDescent="0.35">
      <c r="A29" s="7" t="s">
        <v>5</v>
      </c>
      <c r="B29" s="14">
        <f t="shared" si="2"/>
        <v>25.01</v>
      </c>
      <c r="C29" s="14">
        <f t="shared" si="0"/>
        <v>28.91</v>
      </c>
      <c r="D29" s="14">
        <f t="shared" si="3"/>
        <v>18.350000000000001</v>
      </c>
      <c r="E29" s="14">
        <f t="shared" si="1"/>
        <v>17.559999999999999</v>
      </c>
    </row>
    <row r="30" spans="1:6" x14ac:dyDescent="0.35">
      <c r="A30" s="7" t="s">
        <v>6</v>
      </c>
      <c r="B30" s="14">
        <f t="shared" si="2"/>
        <v>6.5</v>
      </c>
      <c r="C30" s="14">
        <f t="shared" si="0"/>
        <v>5.37</v>
      </c>
      <c r="D30" s="14">
        <f t="shared" si="3"/>
        <v>6.59</v>
      </c>
      <c r="E30" s="14">
        <f t="shared" si="1"/>
        <v>35.39</v>
      </c>
    </row>
    <row r="31" spans="1:6" x14ac:dyDescent="0.35">
      <c r="A31" s="2"/>
      <c r="B31" s="2"/>
      <c r="C31" s="2"/>
      <c r="D31" s="2"/>
      <c r="E31" s="2"/>
    </row>
    <row r="32" spans="1:6" x14ac:dyDescent="0.35">
      <c r="C32" s="11"/>
      <c r="D32" s="11"/>
      <c r="E32" s="11"/>
    </row>
    <row r="33" spans="1:6" x14ac:dyDescent="0.35">
      <c r="A33" s="20" t="s">
        <v>35</v>
      </c>
      <c r="B33" s="20"/>
      <c r="C33" s="20"/>
      <c r="D33" s="20"/>
      <c r="E33" s="20"/>
      <c r="F33" s="20"/>
    </row>
    <row r="34" spans="1:6" x14ac:dyDescent="0.35">
      <c r="A34" s="1" t="s">
        <v>0</v>
      </c>
      <c r="B34" t="s">
        <v>30</v>
      </c>
      <c r="C34" t="s">
        <v>31</v>
      </c>
      <c r="D34" t="s">
        <v>33</v>
      </c>
      <c r="E34" t="s">
        <v>34</v>
      </c>
    </row>
    <row r="35" spans="1:6" x14ac:dyDescent="0.35">
      <c r="A35" s="7" t="s">
        <v>1</v>
      </c>
      <c r="B35" s="14">
        <f t="shared" ref="B35:B40" si="4">VALUE(E4)</f>
        <v>4.33</v>
      </c>
      <c r="C35" s="14">
        <f t="shared" ref="C35:C40" si="5">VALUE(F4)</f>
        <v>3.51</v>
      </c>
      <c r="D35" s="14">
        <f t="shared" ref="D35:D40" si="6">VALUE(E14)</f>
        <v>3.61</v>
      </c>
      <c r="E35" s="14">
        <f t="shared" ref="E35:E40" si="7">VALUE(F14)</f>
        <v>9.8800000000000008</v>
      </c>
    </row>
    <row r="36" spans="1:6" x14ac:dyDescent="0.35">
      <c r="A36" s="7" t="s">
        <v>2</v>
      </c>
      <c r="B36" s="14">
        <f t="shared" si="4"/>
        <v>2.56</v>
      </c>
      <c r="C36" s="14">
        <f t="shared" si="5"/>
        <v>3.75</v>
      </c>
      <c r="D36" s="14">
        <f t="shared" si="6"/>
        <v>1.74</v>
      </c>
      <c r="E36" s="14">
        <f t="shared" si="7"/>
        <v>3.61</v>
      </c>
    </row>
    <row r="37" spans="1:6" x14ac:dyDescent="0.35">
      <c r="A37" s="7" t="s">
        <v>3</v>
      </c>
      <c r="B37" s="14">
        <f t="shared" si="4"/>
        <v>2.02</v>
      </c>
      <c r="C37" s="14">
        <f t="shared" si="5"/>
        <v>89.79</v>
      </c>
      <c r="D37" s="14">
        <f t="shared" si="6"/>
        <v>3.99</v>
      </c>
      <c r="E37" s="14">
        <f t="shared" si="7"/>
        <v>3.34</v>
      </c>
    </row>
    <row r="38" spans="1:6" x14ac:dyDescent="0.35">
      <c r="A38" s="7" t="s">
        <v>4</v>
      </c>
      <c r="B38" s="14">
        <f t="shared" si="4"/>
        <v>4.24</v>
      </c>
      <c r="C38" s="14">
        <f t="shared" si="5"/>
        <v>5.21</v>
      </c>
      <c r="D38" s="14">
        <f t="shared" si="6"/>
        <v>2.17</v>
      </c>
      <c r="E38" s="14">
        <f t="shared" si="7"/>
        <v>6.2</v>
      </c>
    </row>
    <row r="39" spans="1:6" x14ac:dyDescent="0.35">
      <c r="A39" s="7" t="s">
        <v>5</v>
      </c>
      <c r="B39" s="14">
        <f t="shared" si="4"/>
        <v>21.58</v>
      </c>
      <c r="C39" s="14">
        <f t="shared" si="5"/>
        <v>36.479999999999997</v>
      </c>
      <c r="D39" s="14">
        <f t="shared" si="6"/>
        <v>16.239999999999998</v>
      </c>
      <c r="E39" s="14">
        <f t="shared" si="7"/>
        <v>17.68</v>
      </c>
    </row>
    <row r="40" spans="1:6" x14ac:dyDescent="0.35">
      <c r="A40" s="7" t="s">
        <v>6</v>
      </c>
      <c r="B40" s="14">
        <f t="shared" si="4"/>
        <v>2.85</v>
      </c>
      <c r="C40" s="14">
        <f t="shared" si="5"/>
        <v>0.36</v>
      </c>
      <c r="D40" s="14">
        <f t="shared" si="6"/>
        <v>83.41</v>
      </c>
      <c r="E40" s="14">
        <f t="shared" si="7"/>
        <v>4.84</v>
      </c>
    </row>
    <row r="41" spans="1:6" x14ac:dyDescent="0.35">
      <c r="A41" s="2"/>
      <c r="B41" s="2"/>
      <c r="C41" s="2"/>
      <c r="D41" s="2"/>
      <c r="E41" s="2"/>
    </row>
    <row r="43" spans="1:6" x14ac:dyDescent="0.35">
      <c r="A43" s="20" t="s">
        <v>24</v>
      </c>
      <c r="B43" s="20"/>
      <c r="C43" s="20"/>
      <c r="D43" s="10"/>
      <c r="E43" s="10"/>
      <c r="F43" s="10"/>
    </row>
    <row r="44" spans="1:6" x14ac:dyDescent="0.35">
      <c r="A44" s="1" t="s">
        <v>0</v>
      </c>
      <c r="B44" t="s">
        <v>25</v>
      </c>
      <c r="C44" t="s">
        <v>26</v>
      </c>
    </row>
    <row r="45" spans="1:6" x14ac:dyDescent="0.35">
      <c r="A45" s="7" t="s">
        <v>1</v>
      </c>
      <c r="B45" s="18">
        <f t="shared" ref="B45:B50" si="8">AVERAGE(B25:C25,B35:C35)</f>
        <v>4.8499999999999996</v>
      </c>
      <c r="C45" s="18">
        <f t="shared" ref="C45:C50" si="9">AVERAGE(D25:E25,D35:E35)</f>
        <v>7.4250000000000007</v>
      </c>
    </row>
    <row r="46" spans="1:6" x14ac:dyDescent="0.35">
      <c r="A46" s="7" t="s">
        <v>2</v>
      </c>
      <c r="B46" s="18">
        <f t="shared" si="8"/>
        <v>7.1674999999999995</v>
      </c>
      <c r="C46" s="18">
        <f t="shared" si="9"/>
        <v>5.3999999999999995</v>
      </c>
    </row>
    <row r="47" spans="1:6" x14ac:dyDescent="0.35">
      <c r="A47" s="7" t="s">
        <v>3</v>
      </c>
      <c r="B47" s="18">
        <f t="shared" si="8"/>
        <v>39.047499999999999</v>
      </c>
      <c r="C47" s="18">
        <f t="shared" si="9"/>
        <v>4.5999999999999996</v>
      </c>
    </row>
    <row r="48" spans="1:6" x14ac:dyDescent="0.35">
      <c r="A48" s="7" t="s">
        <v>4</v>
      </c>
      <c r="B48" s="18">
        <f t="shared" si="8"/>
        <v>4.75</v>
      </c>
      <c r="C48" s="18">
        <f t="shared" si="9"/>
        <v>4.2275</v>
      </c>
    </row>
    <row r="49" spans="1:6" x14ac:dyDescent="0.35">
      <c r="A49" s="7" t="s">
        <v>5</v>
      </c>
      <c r="B49" s="18">
        <f t="shared" si="8"/>
        <v>27.994999999999997</v>
      </c>
      <c r="C49" s="18">
        <f t="shared" si="9"/>
        <v>17.457499999999996</v>
      </c>
    </row>
    <row r="50" spans="1:6" x14ac:dyDescent="0.35">
      <c r="A50" s="7" t="s">
        <v>6</v>
      </c>
      <c r="B50" s="18">
        <f t="shared" si="8"/>
        <v>3.77</v>
      </c>
      <c r="C50" s="18">
        <f t="shared" si="9"/>
        <v>32.557499999999997</v>
      </c>
    </row>
    <row r="51" spans="1:6" x14ac:dyDescent="0.35">
      <c r="A51" s="2"/>
      <c r="B51" s="19"/>
      <c r="C51" s="19"/>
    </row>
    <row r="53" spans="1:6" x14ac:dyDescent="0.35">
      <c r="A53" s="21" t="s">
        <v>37</v>
      </c>
      <c r="B53" s="21"/>
      <c r="C53" s="21"/>
      <c r="D53" s="21"/>
      <c r="E53" s="21"/>
      <c r="F53" s="21"/>
    </row>
    <row r="54" spans="1:6" x14ac:dyDescent="0.35">
      <c r="A54" s="12"/>
      <c r="B54" s="12"/>
      <c r="C54" s="12"/>
      <c r="D54" s="12"/>
      <c r="E54" s="12"/>
      <c r="F54" s="12"/>
    </row>
    <row r="55" spans="1:6" x14ac:dyDescent="0.35">
      <c r="A55" s="20" t="s">
        <v>24</v>
      </c>
      <c r="B55" s="20"/>
      <c r="C55" s="20"/>
    </row>
    <row r="56" spans="1:6" x14ac:dyDescent="0.35">
      <c r="A56" s="23" t="s">
        <v>38</v>
      </c>
      <c r="B56" s="23" t="s">
        <v>39</v>
      </c>
      <c r="C56" s="23" t="s">
        <v>40</v>
      </c>
    </row>
    <row r="57" spans="1:6" ht="26" x14ac:dyDescent="0.35">
      <c r="A57" s="24" t="s">
        <v>41</v>
      </c>
      <c r="B57" s="25">
        <f>AVERAGE(B4:B9)</f>
        <v>8.7583333333333346</v>
      </c>
      <c r="C57" s="25">
        <f>AVERAGE(B14:B19)</f>
        <v>7.7833333333333341</v>
      </c>
    </row>
    <row r="58" spans="1:6" ht="26" x14ac:dyDescent="0.35">
      <c r="A58" s="24" t="s">
        <v>42</v>
      </c>
      <c r="B58" s="25">
        <f>AVERAGE(C4:C9)</f>
        <v>20.181666666666668</v>
      </c>
      <c r="C58" s="25">
        <f>AVERAGE(C14:C19)</f>
        <v>13.876666666666667</v>
      </c>
    </row>
    <row r="59" spans="1:6" ht="26" x14ac:dyDescent="0.35">
      <c r="A59" s="24" t="s">
        <v>43</v>
      </c>
      <c r="B59" s="25">
        <f>AVERAGE(E4:E9)</f>
        <v>6.2633333333333328</v>
      </c>
      <c r="C59" s="25">
        <f>AVERAGE(E14:E19)</f>
        <v>18.526666666666667</v>
      </c>
    </row>
    <row r="60" spans="1:6" ht="26" x14ac:dyDescent="0.35">
      <c r="A60" s="24" t="s">
        <v>44</v>
      </c>
      <c r="B60" s="25">
        <f>AVERAGE(F4:F9)</f>
        <v>23.183333333333337</v>
      </c>
      <c r="C60" s="25">
        <f>AVERAGE(F14:F19)</f>
        <v>7.5916666666666659</v>
      </c>
    </row>
  </sheetData>
  <mergeCells count="9">
    <mergeCell ref="A43:C43"/>
    <mergeCell ref="A53:F53"/>
    <mergeCell ref="A55:C55"/>
    <mergeCell ref="A33:F33"/>
    <mergeCell ref="A2:F2"/>
    <mergeCell ref="A12:F12"/>
    <mergeCell ref="A1:F1"/>
    <mergeCell ref="A22:F22"/>
    <mergeCell ref="A23:F23"/>
  </mergeCells>
  <phoneticPr fontId="5" type="noConversion"/>
  <dataValidations count="1">
    <dataValidation type="list" allowBlank="1" sqref="A4:A10 A14:A20 A45:A51 A25:A32 A35:A42" xr:uid="{2A9DCAF9-22A7-4777-86A4-1D4767C9015F}">
      <formula1>#REF!</formula1>
    </dataValidation>
  </dataValidations>
  <pageMargins left="0.7" right="0.7" top="0.75" bottom="0.75" header="0.3" footer="0.3"/>
  <pageSetup paperSize="9" orientation="portrait" r:id="rId1"/>
  <ignoredErrors>
    <ignoredError sqref="D14:D19 D4:D9" calculatedColumn="1"/>
    <ignoredError sqref="A4:A9 A14:A19" listDataValidation="1"/>
  </ignoredErrors>
  <tableParts count="5"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8"/>
  <sheetViews>
    <sheetView topLeftCell="A42" workbookViewId="0">
      <selection activeCell="E57" sqref="E57"/>
    </sheetView>
  </sheetViews>
  <sheetFormatPr baseColWidth="10" defaultColWidth="8.7265625" defaultRowHeight="14.5" x14ac:dyDescent="0.35"/>
  <cols>
    <col min="2" max="2" width="22.6328125" customWidth="1"/>
    <col min="3" max="3" width="34.36328125" customWidth="1"/>
    <col min="4" max="4" width="22.26953125" customWidth="1"/>
    <col min="5" max="5" width="17.54296875" customWidth="1"/>
    <col min="6" max="6" width="27" customWidth="1"/>
  </cols>
  <sheetData>
    <row r="1" spans="1:8" x14ac:dyDescent="0.35">
      <c r="A1" s="21" t="s">
        <v>23</v>
      </c>
      <c r="B1" s="21"/>
      <c r="C1" s="21"/>
      <c r="D1" s="21"/>
      <c r="E1" s="21"/>
      <c r="F1" s="21"/>
      <c r="G1" s="5"/>
      <c r="H1" s="5"/>
    </row>
    <row r="2" spans="1:8" x14ac:dyDescent="0.35">
      <c r="A2" s="20" t="s">
        <v>15</v>
      </c>
      <c r="B2" s="20"/>
      <c r="C2" s="20"/>
      <c r="D2" s="20"/>
      <c r="E2" s="10"/>
      <c r="F2" s="10"/>
    </row>
    <row r="3" spans="1:8" x14ac:dyDescent="0.35">
      <c r="A3" s="1" t="s">
        <v>0</v>
      </c>
      <c r="B3" t="s">
        <v>27</v>
      </c>
      <c r="C3" s="4" t="s">
        <v>7</v>
      </c>
      <c r="D3" t="s">
        <v>28</v>
      </c>
    </row>
    <row r="4" spans="1:8" x14ac:dyDescent="0.35">
      <c r="A4" s="7" t="s">
        <v>1</v>
      </c>
      <c r="B4" s="11">
        <v>40.67</v>
      </c>
      <c r="C4" s="8" t="s">
        <v>8</v>
      </c>
      <c r="D4" s="11">
        <v>39.67</v>
      </c>
    </row>
    <row r="5" spans="1:8" x14ac:dyDescent="0.35">
      <c r="A5" s="7" t="s">
        <v>2</v>
      </c>
      <c r="B5" s="11">
        <v>41.04</v>
      </c>
      <c r="C5" s="6" t="s">
        <v>17</v>
      </c>
      <c r="D5" s="11">
        <v>43.73</v>
      </c>
    </row>
    <row r="6" spans="1:8" x14ac:dyDescent="0.35">
      <c r="A6" s="7" t="s">
        <v>3</v>
      </c>
      <c r="B6" s="11">
        <v>38.69</v>
      </c>
      <c r="C6" s="6" t="s">
        <v>18</v>
      </c>
      <c r="D6" s="11">
        <v>38.83</v>
      </c>
    </row>
    <row r="7" spans="1:8" x14ac:dyDescent="0.35">
      <c r="A7" s="7" t="s">
        <v>4</v>
      </c>
      <c r="B7" s="11">
        <v>42.77</v>
      </c>
      <c r="C7" s="6" t="s">
        <v>20</v>
      </c>
      <c r="D7" s="11">
        <v>43.04</v>
      </c>
    </row>
    <row r="8" spans="1:8" x14ac:dyDescent="0.35">
      <c r="A8" s="7" t="s">
        <v>5</v>
      </c>
      <c r="B8" s="11">
        <v>28.91</v>
      </c>
      <c r="C8" s="6" t="s">
        <v>21</v>
      </c>
      <c r="D8" s="11">
        <v>29.88</v>
      </c>
    </row>
    <row r="9" spans="1:8" x14ac:dyDescent="0.35">
      <c r="A9" s="7" t="s">
        <v>6</v>
      </c>
      <c r="B9" s="11">
        <v>36.590000000000003</v>
      </c>
      <c r="C9" s="6" t="s">
        <v>22</v>
      </c>
      <c r="D9" s="11">
        <v>37.450000000000003</v>
      </c>
    </row>
    <row r="10" spans="1:8" x14ac:dyDescent="0.35">
      <c r="A10" s="2"/>
      <c r="B10" s="2"/>
      <c r="C10" s="3"/>
      <c r="D10" s="2"/>
    </row>
    <row r="12" spans="1:8" x14ac:dyDescent="0.35">
      <c r="A12" s="20" t="s">
        <v>16</v>
      </c>
      <c r="B12" s="20"/>
      <c r="C12" s="20"/>
      <c r="D12" s="20"/>
      <c r="E12" s="10"/>
      <c r="F12" s="10"/>
    </row>
    <row r="13" spans="1:8" x14ac:dyDescent="0.35">
      <c r="A13" s="1" t="s">
        <v>0</v>
      </c>
      <c r="B13" t="s">
        <v>29</v>
      </c>
      <c r="C13" s="4" t="s">
        <v>7</v>
      </c>
      <c r="D13" t="s">
        <v>28</v>
      </c>
    </row>
    <row r="14" spans="1:8" x14ac:dyDescent="0.35">
      <c r="A14" s="7" t="s">
        <v>1</v>
      </c>
      <c r="B14" s="15">
        <v>17.43</v>
      </c>
      <c r="C14" s="8" t="s">
        <v>8</v>
      </c>
      <c r="D14" s="11">
        <v>18.920000000000002</v>
      </c>
    </row>
    <row r="15" spans="1:8" x14ac:dyDescent="0.35">
      <c r="A15" s="7" t="s">
        <v>2</v>
      </c>
      <c r="B15" s="13">
        <v>33.78</v>
      </c>
      <c r="C15" s="6" t="s">
        <v>17</v>
      </c>
      <c r="D15" s="11">
        <v>35.18</v>
      </c>
    </row>
    <row r="16" spans="1:8" x14ac:dyDescent="0.35">
      <c r="A16" s="7" t="s">
        <v>3</v>
      </c>
      <c r="B16" s="13">
        <v>37.36</v>
      </c>
      <c r="C16" s="6" t="s">
        <v>18</v>
      </c>
      <c r="D16" s="11">
        <v>37.86</v>
      </c>
    </row>
    <row r="17" spans="1:6" x14ac:dyDescent="0.35">
      <c r="A17" s="7" t="s">
        <v>4</v>
      </c>
      <c r="B17" s="13">
        <v>38.39</v>
      </c>
      <c r="C17" s="6" t="s">
        <v>20</v>
      </c>
      <c r="D17" s="11">
        <v>39.32</v>
      </c>
    </row>
    <row r="18" spans="1:6" x14ac:dyDescent="0.35">
      <c r="A18" s="7" t="s">
        <v>5</v>
      </c>
      <c r="B18" s="11">
        <v>30.51</v>
      </c>
      <c r="C18" s="6" t="s">
        <v>21</v>
      </c>
      <c r="D18" s="11">
        <v>31.9</v>
      </c>
    </row>
    <row r="19" spans="1:6" x14ac:dyDescent="0.35">
      <c r="A19" s="7" t="s">
        <v>6</v>
      </c>
      <c r="B19" s="13">
        <v>36.81</v>
      </c>
      <c r="C19" s="6" t="s">
        <v>22</v>
      </c>
      <c r="D19" s="11">
        <v>37.340000000000003</v>
      </c>
    </row>
    <row r="20" spans="1:6" x14ac:dyDescent="0.35">
      <c r="A20" s="2"/>
      <c r="B20" s="2"/>
      <c r="C20" s="3"/>
      <c r="D20" s="2"/>
    </row>
    <row r="22" spans="1:6" x14ac:dyDescent="0.35">
      <c r="A22" s="21" t="s">
        <v>36</v>
      </c>
      <c r="B22" s="21"/>
      <c r="C22" s="21"/>
      <c r="D22" s="21"/>
      <c r="E22" s="21"/>
      <c r="F22" s="21"/>
    </row>
    <row r="23" spans="1:6" x14ac:dyDescent="0.35">
      <c r="A23" s="20" t="s">
        <v>47</v>
      </c>
      <c r="B23" s="20"/>
      <c r="C23" s="20"/>
      <c r="D23" s="20"/>
      <c r="E23" s="20"/>
      <c r="F23" s="20"/>
    </row>
    <row r="24" spans="1:6" x14ac:dyDescent="0.35">
      <c r="A24" s="1" t="s">
        <v>0</v>
      </c>
      <c r="B24" t="s">
        <v>46</v>
      </c>
      <c r="C24" t="s">
        <v>45</v>
      </c>
    </row>
    <row r="25" spans="1:6" x14ac:dyDescent="0.35">
      <c r="A25" s="7" t="s">
        <v>1</v>
      </c>
      <c r="B25" s="14">
        <f>VALUE(B4)</f>
        <v>40.67</v>
      </c>
      <c r="C25" s="14">
        <f>VALUE(B14)</f>
        <v>17.43</v>
      </c>
    </row>
    <row r="26" spans="1:6" x14ac:dyDescent="0.35">
      <c r="A26" s="7" t="s">
        <v>2</v>
      </c>
      <c r="B26" s="14">
        <f t="shared" ref="B26:B30" si="0">VALUE(B5)</f>
        <v>41.04</v>
      </c>
      <c r="C26" s="14">
        <f t="shared" ref="C26:C30" si="1">VALUE(B15)</f>
        <v>33.78</v>
      </c>
    </row>
    <row r="27" spans="1:6" x14ac:dyDescent="0.35">
      <c r="A27" s="7" t="s">
        <v>3</v>
      </c>
      <c r="B27" s="14">
        <f t="shared" si="0"/>
        <v>38.69</v>
      </c>
      <c r="C27" s="14">
        <f t="shared" si="1"/>
        <v>37.36</v>
      </c>
    </row>
    <row r="28" spans="1:6" x14ac:dyDescent="0.35">
      <c r="A28" s="7" t="s">
        <v>4</v>
      </c>
      <c r="B28" s="14">
        <f t="shared" si="0"/>
        <v>42.77</v>
      </c>
      <c r="C28" s="14">
        <f t="shared" si="1"/>
        <v>38.39</v>
      </c>
    </row>
    <row r="29" spans="1:6" x14ac:dyDescent="0.35">
      <c r="A29" s="7" t="s">
        <v>5</v>
      </c>
      <c r="B29" s="14">
        <f t="shared" si="0"/>
        <v>28.91</v>
      </c>
      <c r="C29" s="14">
        <f t="shared" si="1"/>
        <v>30.51</v>
      </c>
    </row>
    <row r="30" spans="1:6" x14ac:dyDescent="0.35">
      <c r="A30" s="7" t="s">
        <v>6</v>
      </c>
      <c r="B30" s="14">
        <f t="shared" si="0"/>
        <v>36.590000000000003</v>
      </c>
      <c r="C30" s="14">
        <f t="shared" si="1"/>
        <v>36.81</v>
      </c>
    </row>
    <row r="31" spans="1:6" x14ac:dyDescent="0.35">
      <c r="A31" s="2"/>
      <c r="B31" s="2"/>
      <c r="C31" s="2"/>
    </row>
    <row r="32" spans="1:6" x14ac:dyDescent="0.35">
      <c r="C32" s="11"/>
    </row>
    <row r="33" spans="1:6" x14ac:dyDescent="0.35">
      <c r="A33" s="20" t="s">
        <v>48</v>
      </c>
      <c r="B33" s="20"/>
      <c r="C33" s="20"/>
      <c r="D33" s="20"/>
      <c r="E33" s="20"/>
      <c r="F33" s="20"/>
    </row>
    <row r="34" spans="1:6" x14ac:dyDescent="0.35">
      <c r="A34" s="22" t="s">
        <v>0</v>
      </c>
      <c r="B34" s="22" t="s">
        <v>46</v>
      </c>
      <c r="C34" s="22" t="s">
        <v>45</v>
      </c>
    </row>
    <row r="35" spans="1:6" x14ac:dyDescent="0.35">
      <c r="A35" s="7" t="s">
        <v>1</v>
      </c>
      <c r="B35" s="14">
        <f>VALUE(D4)</f>
        <v>39.67</v>
      </c>
      <c r="C35" s="14">
        <f>VALUE(D14)</f>
        <v>18.920000000000002</v>
      </c>
    </row>
    <row r="36" spans="1:6" x14ac:dyDescent="0.35">
      <c r="A36" s="7" t="s">
        <v>2</v>
      </c>
      <c r="B36" s="14">
        <f t="shared" ref="B36:B40" si="2">VALUE(D5)</f>
        <v>43.73</v>
      </c>
      <c r="C36" s="14">
        <f t="shared" ref="C36:C40" si="3">VALUE(D15)</f>
        <v>35.18</v>
      </c>
    </row>
    <row r="37" spans="1:6" x14ac:dyDescent="0.35">
      <c r="A37" s="7" t="s">
        <v>3</v>
      </c>
      <c r="B37" s="14">
        <f t="shared" si="2"/>
        <v>38.83</v>
      </c>
      <c r="C37" s="14">
        <f t="shared" si="3"/>
        <v>37.86</v>
      </c>
    </row>
    <row r="38" spans="1:6" x14ac:dyDescent="0.35">
      <c r="A38" s="7" t="s">
        <v>4</v>
      </c>
      <c r="B38" s="14">
        <f t="shared" si="2"/>
        <v>43.04</v>
      </c>
      <c r="C38" s="14">
        <f t="shared" si="3"/>
        <v>39.32</v>
      </c>
    </row>
    <row r="39" spans="1:6" x14ac:dyDescent="0.35">
      <c r="A39" s="7" t="s">
        <v>5</v>
      </c>
      <c r="B39" s="14">
        <f t="shared" si="2"/>
        <v>29.88</v>
      </c>
      <c r="C39" s="14">
        <f t="shared" si="3"/>
        <v>31.9</v>
      </c>
    </row>
    <row r="40" spans="1:6" x14ac:dyDescent="0.35">
      <c r="A40" s="7" t="s">
        <v>6</v>
      </c>
      <c r="B40" s="14">
        <f t="shared" si="2"/>
        <v>37.450000000000003</v>
      </c>
      <c r="C40" s="14">
        <f t="shared" si="3"/>
        <v>37.340000000000003</v>
      </c>
    </row>
    <row r="41" spans="1:6" x14ac:dyDescent="0.35">
      <c r="A41" s="2"/>
      <c r="B41" s="2"/>
      <c r="C41" s="2"/>
    </row>
    <row r="43" spans="1:6" x14ac:dyDescent="0.35">
      <c r="A43" s="20" t="s">
        <v>49</v>
      </c>
      <c r="B43" s="20"/>
      <c r="C43" s="20"/>
    </row>
    <row r="44" spans="1:6" x14ac:dyDescent="0.35">
      <c r="A44" s="1" t="s">
        <v>0</v>
      </c>
      <c r="B44" t="s">
        <v>25</v>
      </c>
      <c r="C44" t="s">
        <v>26</v>
      </c>
    </row>
    <row r="45" spans="1:6" x14ac:dyDescent="0.35">
      <c r="A45" s="7" t="s">
        <v>1</v>
      </c>
      <c r="B45" s="18">
        <f t="shared" ref="B45:B51" si="4">AVERAGE(B25:B30,B35:B40)</f>
        <v>38.439166666666672</v>
      </c>
      <c r="C45" s="18">
        <f t="shared" ref="C45:C51" si="5">AVERAGE(C25:C30,C35:C40)</f>
        <v>32.9</v>
      </c>
    </row>
    <row r="46" spans="1:6" x14ac:dyDescent="0.35">
      <c r="A46" s="7" t="s">
        <v>2</v>
      </c>
      <c r="B46" s="18">
        <f t="shared" si="4"/>
        <v>38.093000000000004</v>
      </c>
      <c r="C46" s="18">
        <f t="shared" si="5"/>
        <v>35.844999999999992</v>
      </c>
    </row>
    <row r="47" spans="1:6" x14ac:dyDescent="0.35">
      <c r="A47" s="7" t="s">
        <v>3</v>
      </c>
      <c r="B47" s="18">
        <f t="shared" si="4"/>
        <v>37.020000000000003</v>
      </c>
      <c r="C47" s="18">
        <f t="shared" si="5"/>
        <v>36.186250000000001</v>
      </c>
    </row>
    <row r="48" spans="1:6" x14ac:dyDescent="0.35">
      <c r="A48" s="7" t="s">
        <v>4</v>
      </c>
      <c r="B48" s="18">
        <f t="shared" si="4"/>
        <v>36.44</v>
      </c>
      <c r="C48" s="18">
        <f t="shared" si="5"/>
        <v>35.711666666666666</v>
      </c>
    </row>
    <row r="49" spans="1:6" x14ac:dyDescent="0.35">
      <c r="A49" s="7" t="s">
        <v>5</v>
      </c>
      <c r="B49" s="18">
        <f t="shared" si="4"/>
        <v>33.207499999999996</v>
      </c>
      <c r="C49" s="18">
        <f t="shared" si="5"/>
        <v>34.14</v>
      </c>
    </row>
    <row r="50" spans="1:6" x14ac:dyDescent="0.35">
      <c r="A50" s="7" t="s">
        <v>6</v>
      </c>
      <c r="B50" s="18">
        <f t="shared" si="4"/>
        <v>38.037291666666668</v>
      </c>
      <c r="C50" s="18">
        <f t="shared" si="5"/>
        <v>31.4925</v>
      </c>
    </row>
    <row r="51" spans="1:6" x14ac:dyDescent="0.35">
      <c r="A51" s="2"/>
      <c r="B51" s="19">
        <f t="shared" si="4"/>
        <v>39.983041666666665</v>
      </c>
      <c r="C51" s="19">
        <f t="shared" si="5"/>
        <v>30.71125</v>
      </c>
    </row>
    <row r="53" spans="1:6" x14ac:dyDescent="0.35">
      <c r="A53" s="21" t="s">
        <v>37</v>
      </c>
      <c r="B53" s="21"/>
      <c r="C53" s="21"/>
      <c r="D53" s="21"/>
      <c r="E53" s="21"/>
      <c r="F53" s="21"/>
    </row>
    <row r="54" spans="1:6" x14ac:dyDescent="0.35">
      <c r="A54" s="12"/>
      <c r="B54" s="12"/>
      <c r="C54" s="12"/>
      <c r="D54" s="12"/>
      <c r="E54" s="12"/>
      <c r="F54" s="12"/>
    </row>
    <row r="55" spans="1:6" x14ac:dyDescent="0.35">
      <c r="A55" s="20" t="s">
        <v>24</v>
      </c>
      <c r="B55" s="20"/>
      <c r="C55" s="20"/>
    </row>
    <row r="56" spans="1:6" x14ac:dyDescent="0.35">
      <c r="A56" s="23" t="s">
        <v>38</v>
      </c>
      <c r="B56" s="23" t="s">
        <v>39</v>
      </c>
      <c r="C56" s="23" t="s">
        <v>40</v>
      </c>
    </row>
    <row r="57" spans="1:6" x14ac:dyDescent="0.35">
      <c r="A57" s="24" t="s">
        <v>27</v>
      </c>
      <c r="B57" s="25">
        <f>AVERAGE(B4:B9)</f>
        <v>38.111666666666672</v>
      </c>
      <c r="C57" s="25">
        <f>AVERAGE(D4:D9)</f>
        <v>38.766666666666673</v>
      </c>
    </row>
    <row r="58" spans="1:6" x14ac:dyDescent="0.35">
      <c r="A58" s="24" t="s">
        <v>28</v>
      </c>
      <c r="B58" s="25">
        <f>AVERAGE(B14:B19)</f>
        <v>32.380000000000003</v>
      </c>
      <c r="C58" s="25">
        <f>AVERAGE(D14:D19)</f>
        <v>33.42</v>
      </c>
    </row>
  </sheetData>
  <mergeCells count="9">
    <mergeCell ref="A33:F33"/>
    <mergeCell ref="A43:C43"/>
    <mergeCell ref="A53:F53"/>
    <mergeCell ref="A55:C55"/>
    <mergeCell ref="A2:D2"/>
    <mergeCell ref="A12:D12"/>
    <mergeCell ref="A1:F1"/>
    <mergeCell ref="A22:F22"/>
    <mergeCell ref="A23:F23"/>
  </mergeCells>
  <dataValidations disablePrompts="1" count="2">
    <dataValidation type="list" allowBlank="1" sqref="A4:A10 A14:A20" xr:uid="{783A1768-A046-488C-8D4E-08B172586A30}">
      <formula1>#REF!</formula1>
    </dataValidation>
    <dataValidation type="list" allowBlank="1" sqref="A25:A32 A35:A41 A45:A51" xr:uid="{4526C0BE-C350-457C-BDE9-F0B4BC811291}">
      <formula1>#REF!</formula1>
    </dataValidation>
  </dataValidation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E204D-0B67-410C-8EE1-3A5778E8BBBD}">
  <dimension ref="A1"/>
  <sheetViews>
    <sheetView topLeftCell="H1" zoomScale="90" zoomScaleNormal="90" workbookViewId="0">
      <selection activeCell="U20" sqref="U20"/>
    </sheetView>
  </sheetViews>
  <sheetFormatPr baseColWidth="10" defaultRowHeight="14.5" x14ac:dyDescent="0.35"/>
  <cols>
    <col min="14" max="14" width="20.1796875" customWidth="1"/>
    <col min="15" max="15" width="14.54296875" customWidth="1"/>
  </cols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CF08A-B4F6-455F-AB53-323CD9508FB3}">
  <dimension ref="A1"/>
  <sheetViews>
    <sheetView tabSelected="1" zoomScale="80" zoomScaleNormal="80" workbookViewId="0"/>
  </sheetViews>
  <sheetFormatPr baseColWidth="10" defaultRowHeight="14.5" x14ac:dyDescent="0.3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ESP32 CPU </vt:lpstr>
      <vt:lpstr>ESP32 Memoria</vt:lpstr>
      <vt:lpstr>Analisis de uso CPU</vt:lpstr>
      <vt:lpstr>Analisis uso de memoria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Esteban .</dc:creator>
  <cp:lastModifiedBy>ESTEBAN CARNUCCIO</cp:lastModifiedBy>
  <dcterms:created xsi:type="dcterms:W3CDTF">2015-06-05T18:19:34Z</dcterms:created>
  <dcterms:modified xsi:type="dcterms:W3CDTF">2026-05-26T01:03:51Z</dcterms:modified>
</cp:coreProperties>
</file>