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proyecto_code_ia\metricas_realizadas\SOA\Analisis Metricas SOA\"/>
    </mc:Choice>
  </mc:AlternateContent>
  <xr:revisionPtr revIDLastSave="0" documentId="13_ncr:1_{6EABB74A-1B4B-4EC0-A2FF-76290F7E31A9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Funcionalidad" sheetId="5" r:id="rId1"/>
    <sheet name="Legibilidad y Mantenibilidad" sheetId="6" r:id="rId2"/>
    <sheet name="Analisis rubrica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5" l="1"/>
  <c r="F28" i="5"/>
  <c r="E28" i="5"/>
  <c r="D28" i="5"/>
  <c r="C28" i="5"/>
  <c r="B28" i="5"/>
  <c r="F27" i="5"/>
  <c r="E27" i="5"/>
  <c r="D27" i="5"/>
  <c r="C27" i="5"/>
  <c r="B27" i="5"/>
  <c r="F26" i="5"/>
  <c r="E26" i="5"/>
  <c r="D26" i="5"/>
  <c r="C26" i="5"/>
  <c r="B26" i="5"/>
  <c r="F25" i="5"/>
  <c r="E25" i="5"/>
  <c r="D25" i="5"/>
  <c r="B34" i="5" s="1"/>
  <c r="C25" i="5"/>
  <c r="B33" i="5" s="1"/>
  <c r="B25" i="5"/>
  <c r="B32" i="5" s="1"/>
  <c r="F24" i="5"/>
  <c r="F29" i="5" s="1"/>
  <c r="E24" i="5"/>
  <c r="B35" i="5" s="1"/>
  <c r="D24" i="5"/>
  <c r="C24" i="5"/>
  <c r="B24" i="5"/>
  <c r="F23" i="5"/>
  <c r="E23" i="5"/>
  <c r="D23" i="5"/>
  <c r="C23" i="5"/>
  <c r="C29" i="5" s="1"/>
  <c r="B23" i="5"/>
  <c r="B29" i="5" s="1"/>
  <c r="B36" i="6"/>
  <c r="B35" i="6"/>
  <c r="B34" i="6"/>
  <c r="B33" i="6"/>
  <c r="B32" i="6"/>
  <c r="C29" i="6"/>
  <c r="D29" i="6"/>
  <c r="E29" i="6"/>
  <c r="F29" i="6"/>
  <c r="B29" i="6"/>
  <c r="C23" i="6"/>
  <c r="D23" i="6"/>
  <c r="E23" i="6"/>
  <c r="F23" i="6"/>
  <c r="C24" i="6"/>
  <c r="D24" i="6"/>
  <c r="E24" i="6"/>
  <c r="F24" i="6"/>
  <c r="C25" i="6"/>
  <c r="D25" i="6"/>
  <c r="E25" i="6"/>
  <c r="F25" i="6"/>
  <c r="C26" i="6"/>
  <c r="D26" i="6"/>
  <c r="E26" i="6"/>
  <c r="F26" i="6"/>
  <c r="C27" i="6"/>
  <c r="D27" i="6"/>
  <c r="E27" i="6"/>
  <c r="F27" i="6"/>
  <c r="C28" i="6"/>
  <c r="D28" i="6"/>
  <c r="E28" i="6"/>
  <c r="F28" i="6"/>
  <c r="B24" i="6"/>
  <c r="B25" i="6"/>
  <c r="B26" i="6"/>
  <c r="B27" i="6"/>
  <c r="B28" i="6"/>
  <c r="B23" i="6"/>
  <c r="D16" i="6"/>
  <c r="C16" i="6"/>
  <c r="B16" i="6"/>
  <c r="D15" i="6"/>
  <c r="C15" i="6"/>
  <c r="B15" i="6"/>
  <c r="D14" i="6"/>
  <c r="C14" i="6"/>
  <c r="B14" i="6"/>
  <c r="D13" i="6"/>
  <c r="C13" i="6"/>
  <c r="B13" i="6"/>
  <c r="D12" i="6"/>
  <c r="C12" i="6"/>
  <c r="B12" i="6"/>
  <c r="D16" i="5"/>
  <c r="D15" i="5"/>
  <c r="D14" i="5"/>
  <c r="D13" i="5"/>
  <c r="D12" i="5"/>
  <c r="C16" i="5"/>
  <c r="C15" i="5"/>
  <c r="C14" i="5"/>
  <c r="C13" i="5"/>
  <c r="C12" i="5"/>
  <c r="B16" i="5"/>
  <c r="B15" i="5"/>
  <c r="B14" i="5"/>
  <c r="B13" i="5"/>
  <c r="B12" i="5"/>
  <c r="B36" i="5" l="1"/>
  <c r="E29" i="5"/>
</calcChain>
</file>

<file path=xl/sharedStrings.xml><?xml version="1.0" encoding="utf-8"?>
<sst xmlns="http://schemas.openxmlformats.org/spreadsheetml/2006/main" count="148" uniqueCount="52">
  <si>
    <t>L1</t>
  </si>
  <si>
    <t>L2</t>
  </si>
  <si>
    <t>M1</t>
  </si>
  <si>
    <t>M2</t>
  </si>
  <si>
    <t>M4</t>
  </si>
  <si>
    <t>M5</t>
  </si>
  <si>
    <t>FUNCIONA SIN ERROR</t>
  </si>
  <si>
    <t>EMPLEA TAREAS FREERTOS</t>
  </si>
  <si>
    <t>NO USA ESPERAS BLOQUEANTES</t>
  </si>
  <si>
    <t>UTILIZA SENSORES Y ACTUADORES</t>
  </si>
  <si>
    <t>Grupos</t>
  </si>
  <si>
    <t>SE COMUNICA CON BROKER MQTT</t>
  </si>
  <si>
    <t>A</t>
  </si>
  <si>
    <t>C</t>
  </si>
  <si>
    <t>PATRON MAQUINA DE ESTADOS</t>
  </si>
  <si>
    <t>TAMAÑO DE FUNCIONES</t>
  </si>
  <si>
    <t>NOMBRES DESCRIPTIVOS 
VARIABLES Y FUNCIONES</t>
  </si>
  <si>
    <t>COMENTARIOS EN 
CODIGO</t>
  </si>
  <si>
    <t>B</t>
  </si>
  <si>
    <t>CODIGO MODULAR</t>
  </si>
  <si>
    <t>codigo acoplado, no siguen el patron solicitado ya que preguntan por el estado en getevent</t>
  </si>
  <si>
    <t>ademas en algunos casos no sincroniza bien variables compartidas en varias tareas</t>
  </si>
  <si>
    <t>Criterio</t>
  </si>
  <si>
    <t>Cantidad de A</t>
  </si>
  <si>
    <t>Cantidad de B</t>
  </si>
  <si>
    <t>Cantidad de C</t>
  </si>
  <si>
    <t>Funciona sin error</t>
  </si>
  <si>
    <t>Emplea tareas FreeRTOS</t>
  </si>
  <si>
    <t>No usa esperas bloqueantes</t>
  </si>
  <si>
    <t>Utiliza sensores y actuadores</t>
  </si>
  <si>
    <t>Se comunica con broker MQTT</t>
  </si>
  <si>
    <t>Patrón Máquina de estados</t>
  </si>
  <si>
    <t>Tamaño de Funciones</t>
  </si>
  <si>
    <t>Nombres de variables y funciones</t>
  </si>
  <si>
    <t>Comentarios en código</t>
  </si>
  <si>
    <t>Código modular</t>
  </si>
  <si>
    <t>Rubrica de Legibilidad y Mantenibilidad del código SE (para sacar el grfico radial)</t>
  </si>
  <si>
    <t>Rubrica de Legibilidad y Mantenibilidad del código SE (para sacar el grafico de barras)</t>
  </si>
  <si>
    <t xml:space="preserve">PROMEDIO </t>
  </si>
  <si>
    <t>Promedio</t>
  </si>
  <si>
    <t>Tamaño de funciones</t>
  </si>
  <si>
    <t>Nombres descriptivos</t>
  </si>
  <si>
    <t>Comentarios</t>
  </si>
  <si>
    <t>Patrón FSM</t>
  </si>
  <si>
    <t>Código módular</t>
  </si>
  <si>
    <t>Rubrica de Funcionalidad del código SE (para sacar el grfico radial)</t>
  </si>
  <si>
    <t>Rubrica de Funcionalidad del código SE (para sacar gráfico de barras)</t>
  </si>
  <si>
    <t>MQTT</t>
  </si>
  <si>
    <t>Sensores/actuadores</t>
  </si>
  <si>
    <t>Esperas bloqueantes</t>
  </si>
  <si>
    <t>Usa FreeRTOS</t>
  </si>
  <si>
    <t>Sin errores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</si>
</sst>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0"/>
      <color theme="0"/>
      <name val="Arial Unicode MS"/>
    </font>
    <font>
      <sz val="10"/>
      <name val="Arial Unicode MS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356854"/>
        <bgColor rgb="FF35685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3" borderId="0" xfId="0" applyFill="1"/>
    <xf numFmtId="0" fontId="2" fillId="4" borderId="0" xfId="0" applyFont="1" applyFill="1" applyAlignment="1">
      <alignment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right"/>
    </xf>
    <xf numFmtId="0" fontId="3" fillId="4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2" fontId="6" fillId="3" borderId="0" xfId="0" applyNumberFormat="1" applyFont="1" applyFill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 vertical="top" wrapText="1"/>
    </xf>
    <xf numFmtId="1" fontId="7" fillId="6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8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2" defaultPivotStyle="PivotStyleLight16">
    <tableStyle name="Tiempos Android-style" pivot="0" count="4" xr9:uid="{618F15E6-BBA1-4549-8A57-6A50A508DFF3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Tiempos ESP-style" pivot="0" count="4" xr9:uid="{7F490106-DF75-423B-A009-86B91BF302F6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Rúbrica Funcionalidad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Funcionalidad!$B$11</c:f>
              <c:strCache>
                <c:ptCount val="1"/>
                <c:pt idx="0">
                  <c:v>Cantidad de 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Funcionalidad!$A$12:$A$16</c:f>
              <c:strCache>
                <c:ptCount val="5"/>
                <c:pt idx="0">
                  <c:v>Funciona sin error</c:v>
                </c:pt>
                <c:pt idx="1">
                  <c:v>Emplea tareas FreeRTOS</c:v>
                </c:pt>
                <c:pt idx="2">
                  <c:v>No usa esperas bloqueantes</c:v>
                </c:pt>
                <c:pt idx="3">
                  <c:v>Utiliza sensores y actuadores</c:v>
                </c:pt>
                <c:pt idx="4">
                  <c:v>Se comunica con broker MQTT</c:v>
                </c:pt>
              </c:strCache>
            </c:strRef>
          </c:cat>
          <c:val>
            <c:numRef>
              <c:f>Funcionalidad!$B$12:$B$16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BA-43B2-90D8-0C40D3EC64FD}"/>
            </c:ext>
          </c:extLst>
        </c:ser>
        <c:ser>
          <c:idx val="1"/>
          <c:order val="1"/>
          <c:tx>
            <c:strRef>
              <c:f>Funcionalidad!$C$11</c:f>
              <c:strCache>
                <c:ptCount val="1"/>
                <c:pt idx="0">
                  <c:v>Cantidad de 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Funcionalidad!$A$12:$A$16</c:f>
              <c:strCache>
                <c:ptCount val="5"/>
                <c:pt idx="0">
                  <c:v>Funciona sin error</c:v>
                </c:pt>
                <c:pt idx="1">
                  <c:v>Emplea tareas FreeRTOS</c:v>
                </c:pt>
                <c:pt idx="2">
                  <c:v>No usa esperas bloqueantes</c:v>
                </c:pt>
                <c:pt idx="3">
                  <c:v>Utiliza sensores y actuadores</c:v>
                </c:pt>
                <c:pt idx="4">
                  <c:v>Se comunica con broker MQTT</c:v>
                </c:pt>
              </c:strCache>
            </c:strRef>
          </c:cat>
          <c:val>
            <c:numRef>
              <c:f>Funcionalidad!$C$12:$C$16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BA-43B2-90D8-0C40D3EC64FD}"/>
            </c:ext>
          </c:extLst>
        </c:ser>
        <c:ser>
          <c:idx val="2"/>
          <c:order val="2"/>
          <c:tx>
            <c:strRef>
              <c:f>Funcionalidad!$D$11</c:f>
              <c:strCache>
                <c:ptCount val="1"/>
                <c:pt idx="0">
                  <c:v>Cantidad de 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Funcionalidad!$A$12:$A$16</c:f>
              <c:strCache>
                <c:ptCount val="5"/>
                <c:pt idx="0">
                  <c:v>Funciona sin error</c:v>
                </c:pt>
                <c:pt idx="1">
                  <c:v>Emplea tareas FreeRTOS</c:v>
                </c:pt>
                <c:pt idx="2">
                  <c:v>No usa esperas bloqueantes</c:v>
                </c:pt>
                <c:pt idx="3">
                  <c:v>Utiliza sensores y actuadores</c:v>
                </c:pt>
                <c:pt idx="4">
                  <c:v>Se comunica con broker MQTT</c:v>
                </c:pt>
              </c:strCache>
            </c:strRef>
          </c:cat>
          <c:val>
            <c:numRef>
              <c:f>Funcionalidad!$D$12:$D$16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BA-43B2-90D8-0C40D3EC64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08396607"/>
        <c:axId val="1908392447"/>
      </c:barChart>
      <c:catAx>
        <c:axId val="1908396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8392447"/>
        <c:crosses val="autoZero"/>
        <c:auto val="1"/>
        <c:lblAlgn val="ctr"/>
        <c:lblOffset val="100"/>
        <c:noMultiLvlLbl val="0"/>
      </c:catAx>
      <c:valAx>
        <c:axId val="1908392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8396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Rúbrica Legibilidad y Mantenibilidad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'Legibilidad y Mantenibilidad'!$B$11</c:f>
              <c:strCache>
                <c:ptCount val="1"/>
                <c:pt idx="0">
                  <c:v>Cantidad de 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'Legibilidad y Mantenibilidad'!$A$12:$A$16</c:f>
              <c:strCache>
                <c:ptCount val="5"/>
                <c:pt idx="0">
                  <c:v>Patrón Máquina de estados</c:v>
                </c:pt>
                <c:pt idx="1">
                  <c:v>Tamaño de Funciones</c:v>
                </c:pt>
                <c:pt idx="2">
                  <c:v>Nombres de variables y funciones</c:v>
                </c:pt>
                <c:pt idx="3">
                  <c:v>Comentarios en código</c:v>
                </c:pt>
                <c:pt idx="4">
                  <c:v>Código modular</c:v>
                </c:pt>
              </c:strCache>
            </c:strRef>
          </c:cat>
          <c:val>
            <c:numRef>
              <c:f>'Legibilidad y Mantenibilidad'!$B$12:$B$16</c:f>
              <c:numCache>
                <c:formatCode>General</c:formatCode>
                <c:ptCount val="5"/>
                <c:pt idx="0">
                  <c:v>2</c:v>
                </c:pt>
                <c:pt idx="1">
                  <c:v>2</c:v>
                </c:pt>
                <c:pt idx="2">
                  <c:v>6</c:v>
                </c:pt>
                <c:pt idx="3">
                  <c:v>4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32-46B3-AE84-CE5310D6457B}"/>
            </c:ext>
          </c:extLst>
        </c:ser>
        <c:ser>
          <c:idx val="1"/>
          <c:order val="1"/>
          <c:tx>
            <c:strRef>
              <c:f>'Legibilidad y Mantenibilidad'!$C$11</c:f>
              <c:strCache>
                <c:ptCount val="1"/>
                <c:pt idx="0">
                  <c:v>Cantidad de 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'Legibilidad y Mantenibilidad'!$A$12:$A$16</c:f>
              <c:strCache>
                <c:ptCount val="5"/>
                <c:pt idx="0">
                  <c:v>Patrón Máquina de estados</c:v>
                </c:pt>
                <c:pt idx="1">
                  <c:v>Tamaño de Funciones</c:v>
                </c:pt>
                <c:pt idx="2">
                  <c:v>Nombres de variables y funciones</c:v>
                </c:pt>
                <c:pt idx="3">
                  <c:v>Comentarios en código</c:v>
                </c:pt>
                <c:pt idx="4">
                  <c:v>Código modular</c:v>
                </c:pt>
              </c:strCache>
            </c:strRef>
          </c:cat>
          <c:val>
            <c:numRef>
              <c:f>'Legibilidad y Mantenibilidad'!$C$12:$C$16</c:f>
              <c:numCache>
                <c:formatCode>General</c:formatCode>
                <c:ptCount val="5"/>
                <c:pt idx="0">
                  <c:v>3</c:v>
                </c:pt>
                <c:pt idx="1">
                  <c:v>2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32-46B3-AE84-CE5310D6457B}"/>
            </c:ext>
          </c:extLst>
        </c:ser>
        <c:ser>
          <c:idx val="2"/>
          <c:order val="2"/>
          <c:tx>
            <c:strRef>
              <c:f>'Legibilidad y Mantenibilidad'!$D$11</c:f>
              <c:strCache>
                <c:ptCount val="1"/>
                <c:pt idx="0">
                  <c:v>Cantidad de 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'Legibilidad y Mantenibilidad'!$A$12:$A$16</c:f>
              <c:strCache>
                <c:ptCount val="5"/>
                <c:pt idx="0">
                  <c:v>Patrón Máquina de estados</c:v>
                </c:pt>
                <c:pt idx="1">
                  <c:v>Tamaño de Funciones</c:v>
                </c:pt>
                <c:pt idx="2">
                  <c:v>Nombres de variables y funciones</c:v>
                </c:pt>
                <c:pt idx="3">
                  <c:v>Comentarios en código</c:v>
                </c:pt>
                <c:pt idx="4">
                  <c:v>Código modular</c:v>
                </c:pt>
              </c:strCache>
            </c:strRef>
          </c:cat>
          <c:val>
            <c:numRef>
              <c:f>'Legibilidad y Mantenibilidad'!$D$12:$D$16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32-46B3-AE84-CE5310D64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16453503"/>
        <c:axId val="1916454335"/>
      </c:barChart>
      <c:catAx>
        <c:axId val="19164535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16454335"/>
        <c:crosses val="autoZero"/>
        <c:auto val="1"/>
        <c:lblAlgn val="ctr"/>
        <c:lblOffset val="100"/>
        <c:noMultiLvlLbl val="0"/>
      </c:catAx>
      <c:valAx>
        <c:axId val="1916454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1645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Legibilidad</a:t>
            </a:r>
            <a:r>
              <a:rPr lang="en-US" baseline="0"/>
              <a:t> y Mantenibilidad del código</a:t>
            </a:r>
            <a:endParaRPr lang="en-US"/>
          </a:p>
        </c:rich>
      </c:tx>
      <c:layout>
        <c:manualLayout>
          <c:xMode val="edge"/>
          <c:yMode val="edge"/>
          <c:x val="0.20380555555555557"/>
          <c:y val="1.50732920786990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'Legibilidad y Mantenibilidad'!$B$31</c:f>
              <c:strCache>
                <c:ptCount val="1"/>
                <c:pt idx="0">
                  <c:v>Promedio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'Legibilidad y Mantenibilidad'!$A$32:$A$36</c:f>
              <c:strCache>
                <c:ptCount val="5"/>
                <c:pt idx="0">
                  <c:v>Patrón FSM</c:v>
                </c:pt>
                <c:pt idx="1">
                  <c:v>Tamaño de funciones</c:v>
                </c:pt>
                <c:pt idx="2">
                  <c:v>Nombres descriptivos</c:v>
                </c:pt>
                <c:pt idx="3">
                  <c:v>Comentarios</c:v>
                </c:pt>
                <c:pt idx="4">
                  <c:v>Código módular</c:v>
                </c:pt>
              </c:strCache>
            </c:strRef>
          </c:cat>
          <c:val>
            <c:numRef>
              <c:f>'Legibilidad y Mantenibilidad'!$B$32:$B$36</c:f>
              <c:numCache>
                <c:formatCode>0</c:formatCode>
                <c:ptCount val="5"/>
                <c:pt idx="0">
                  <c:v>2.1666666666666665</c:v>
                </c:pt>
                <c:pt idx="1">
                  <c:v>2</c:v>
                </c:pt>
                <c:pt idx="2">
                  <c:v>3</c:v>
                </c:pt>
                <c:pt idx="3">
                  <c:v>2.6666666666666665</c:v>
                </c:pt>
                <c:pt idx="4">
                  <c:v>1.8333333333333333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A4-4BCB-92F2-A122011B2C2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903686191"/>
        <c:axId val="1903686607"/>
      </c:radarChart>
      <c:catAx>
        <c:axId val="190368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3686607"/>
        <c:crosses val="autoZero"/>
        <c:auto val="1"/>
        <c:lblAlgn val="ctr"/>
        <c:lblOffset val="100"/>
        <c:noMultiLvlLbl val="0"/>
      </c:catAx>
      <c:valAx>
        <c:axId val="190368660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1903686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Funcionalidad</a:t>
            </a:r>
            <a:r>
              <a:rPr lang="es-AR" baseline="0"/>
              <a:t> del código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Funcionalidad!$B$31</c:f>
              <c:strCache>
                <c:ptCount val="1"/>
                <c:pt idx="0">
                  <c:v>Promedio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Funcionalidad!$A$32:$A$36</c:f>
              <c:strCache>
                <c:ptCount val="5"/>
                <c:pt idx="0">
                  <c:v>Sin errores</c:v>
                </c:pt>
                <c:pt idx="1">
                  <c:v>Usa FreeRTOS</c:v>
                </c:pt>
                <c:pt idx="2">
                  <c:v>Esperas bloqueantes</c:v>
                </c:pt>
                <c:pt idx="3">
                  <c:v>Sensores/actuadores</c:v>
                </c:pt>
                <c:pt idx="4">
                  <c:v>MQTT</c:v>
                </c:pt>
              </c:strCache>
            </c:strRef>
          </c:cat>
          <c:val>
            <c:numRef>
              <c:f>Funcionalidad!$B$32:$B$36</c:f>
              <c:numCache>
                <c:formatCode>0</c:formatCode>
                <c:ptCount val="5"/>
                <c:pt idx="0">
                  <c:v>3</c:v>
                </c:pt>
                <c:pt idx="1">
                  <c:v>3</c:v>
                </c:pt>
                <c:pt idx="2">
                  <c:v>1.8333333333333333</c:v>
                </c:pt>
                <c:pt idx="3">
                  <c:v>2.5</c:v>
                </c:pt>
                <c:pt idx="4">
                  <c:v>2.3333333333333335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05-46A1-828A-BB8CED60665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827217807"/>
        <c:axId val="1827214479"/>
      </c:radarChart>
      <c:catAx>
        <c:axId val="1827217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27214479"/>
        <c:crosses val="autoZero"/>
        <c:auto val="1"/>
        <c:lblAlgn val="ctr"/>
        <c:lblOffset val="100"/>
        <c:noMultiLvlLbl val="0"/>
      </c:catAx>
      <c:valAx>
        <c:axId val="1827214479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1827217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184150</xdr:colOff>
      <xdr:row>1</xdr:row>
      <xdr:rowOff>114300</xdr:rowOff>
    </xdr:from>
    <xdr:to>
      <xdr:col>6</xdr:col>
      <xdr:colOff>184150</xdr:colOff>
      <xdr:row>16</xdr:row>
      <xdr:rowOff>95250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3EB9CFF-E7B2-4A61-8308-5EA6140A3F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457200</xdr:colOff>
      <xdr:row>1</xdr:row>
      <xdr:rowOff>152400</xdr:rowOff>
    </xdr:from>
    <xdr:to>
      <xdr:col>12</xdr:col>
      <xdr:colOff>457200</xdr:colOff>
      <xdr:row>16</xdr:row>
      <xdr:rowOff>133350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2201756E-3411-4F57-976C-61C783CBE2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438150</xdr:colOff>
      <xdr:row>17</xdr:row>
      <xdr:rowOff>133350</xdr:rowOff>
    </xdr:from>
    <xdr:to>
      <xdr:col>12</xdr:col>
      <xdr:colOff>438150</xdr:colOff>
      <xdr:row>33</xdr:row>
      <xdr:rowOff>25400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10B2F90-F573-40DA-9E2D-8EB006C83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260350</xdr:colOff>
      <xdr:row>17</xdr:row>
      <xdr:rowOff>158750</xdr:rowOff>
    </xdr:from>
    <xdr:to>
      <xdr:col>6</xdr:col>
      <xdr:colOff>127000</xdr:colOff>
      <xdr:row>33</xdr:row>
      <xdr:rowOff>25400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E980FF4-DC0E-4EF6-90E7-04CC4FABDC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F09E3D-192F-45C1-97BD-FA9ADFEE6B1C}" name="Tiempos5" displayName="Tiempos5" ref="A2:F9">
  <tableColumns count="6">
    <tableColumn id="1" xr3:uid="{F09EC2B5-1E4F-49FB-80FD-6E46F11FE853}" name="Grupos"/>
    <tableColumn id="5" xr3:uid="{F6CB0194-C752-447A-BAC1-7B387120F76E}" name="FUNCIONA SIN ERROR"/>
    <tableColumn id="2" xr3:uid="{DB1BA490-C751-4C23-B731-DFC6A5E5C0A1}" name="EMPLEA TAREAS FREERTOS"/>
    <tableColumn id="3" xr3:uid="{0779ACB9-3A04-4115-BA27-6D99B8FF0386}" name="NO USA ESPERAS BLOQUEANTES"/>
    <tableColumn id="4" xr3:uid="{A41B3C1D-2759-4BC8-AC68-AF931D8A3D7C}" name="UTILIZA SENSORES Y ACTUADORES"/>
    <tableColumn id="6" xr3:uid="{8C492A9C-2EA4-4EA9-BD11-61B0E22728A0}" name="SE COMUNICA CON BROKER MQTT"/>
  </tableColumns>
  <tableStyleInfo name="Tiempos ESP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4110ED-AD03-4898-8845-76C07D70CAB0}" name="Tiempos5423" displayName="Tiempos5423" ref="A22:F29">
  <tableColumns count="6">
    <tableColumn id="1" xr3:uid="{491EA1AB-7AC5-4AD3-AAFE-E4F2F384C0FC}" name="Grupos"/>
    <tableColumn id="5" xr3:uid="{8598B4B5-9892-459E-85AB-0E3133F505F0}" name="FUNCIONA SIN ERROR"/>
    <tableColumn id="2" xr3:uid="{62C87568-0B82-43C9-8CC5-578DC2ABC28B}" name="EMPLEA TAREAS FREERTOS"/>
    <tableColumn id="3" xr3:uid="{51E8C957-50A6-4CED-B3F9-3BE4E7818512}" name="NO USA ESPERAS BLOQUEANTES"/>
    <tableColumn id="4" xr3:uid="{9067996C-8290-4A63-9666-09E2195A5335}" name="UTILIZA SENSORES Y ACTUADORES"/>
    <tableColumn id="7" xr3:uid="{39830B0A-8669-4E10-914F-DED874C7CBEF}" name="SE COMUNICA CON BROKER MQTT"/>
  </tableColumns>
  <tableStyleInfo name="Tiempos ESP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798843-A10D-4965-B5EB-3AC89550CB1B}" name="Tiempos54" displayName="Tiempos54" ref="A2:F9">
  <tableColumns count="6">
    <tableColumn id="1" xr3:uid="{C9F23094-0BE4-4975-9089-ED04A27ABC8B}" name="Grupos"/>
    <tableColumn id="5" xr3:uid="{CBF9F76D-82A0-4060-96A6-01556CD31DB4}" name="PATRON MAQUINA DE ESTADOS"/>
    <tableColumn id="2" xr3:uid="{6CD7FCE0-B29D-4D16-8917-F1BA66E48871}" name="TAMAÑO DE FUNCIONES"/>
    <tableColumn id="3" xr3:uid="{7BF254C0-0060-45D4-9568-0CB0F4D11D6A}" name="NOMBRES DESCRIPTIVOS _x000a_VARIABLES Y FUNCIONES"/>
    <tableColumn id="4" xr3:uid="{D34F9090-9E21-48A3-9D17-24BA04648569}" name="COMENTARIOS EN _x000a_CODIGO"/>
    <tableColumn id="7" xr3:uid="{3B8B9407-2AF7-4254-880E-D110A6592F75}" name="CODIGO MODULAR"/>
  </tableColumns>
  <tableStyleInfo name="Tiempos ESP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6D3A19-DBDB-4AEA-A65C-E73B446AEF56}" name="Tiempos542" displayName="Tiempos542" ref="A22:F29">
  <tableColumns count="6">
    <tableColumn id="1" xr3:uid="{D4997C87-B4EF-493C-85DE-87F22903906A}" name="Grupos"/>
    <tableColumn id="5" xr3:uid="{83E59CAE-A7E5-4A9B-99AB-846B99DEA6D2}" name="PATRON MAQUINA DE ESTADOS"/>
    <tableColumn id="2" xr3:uid="{29625262-9D7B-402C-B351-E046688F1BCC}" name="TAMAÑO DE FUNCIONES"/>
    <tableColumn id="3" xr3:uid="{1C1A9887-B004-421C-BCB7-8C34B04A864E}" name="NOMBRES DESCRIPTIVOS _x000a_VARIABLES Y FUNCIONES"/>
    <tableColumn id="4" xr3:uid="{8C457495-C7A4-49DF-935E-94DBC6E81795}" name="COMENTARIOS EN _x000a_CODIGO"/>
    <tableColumn id="7" xr3:uid="{12D0002B-3668-4ACC-832C-C5583AE2909F}" name="CODIGO MODULAR"/>
  </tableColumns>
  <tableStyleInfo name="Tiempos ESP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27DFE-A574-4ECC-B51C-DB831A4CE02D}">
  <dimension ref="A1:G36"/>
  <sheetViews>
    <sheetView topLeftCell="A23" workbookViewId="0">
      <selection activeCell="A33" sqref="A33"/>
    </sheetView>
  </sheetViews>
  <sheetFormatPr baseColWidth="10" defaultColWidth="8.7265625" defaultRowHeight="14.5"/>
  <cols>
    <col min="1" max="1" width="12.453125" customWidth="1"/>
    <col min="2" max="2" width="31.6328125" customWidth="1"/>
    <col min="3" max="3" width="26.08984375" customWidth="1"/>
    <col min="4" max="4" width="29.453125" customWidth="1"/>
    <col min="5" max="5" width="17.54296875" customWidth="1"/>
    <col min="6" max="6" width="27" customWidth="1"/>
  </cols>
  <sheetData>
    <row r="1" spans="1:6">
      <c r="A1" s="7" t="s">
        <v>46</v>
      </c>
      <c r="B1" s="7"/>
      <c r="C1" s="7"/>
      <c r="D1" s="7"/>
      <c r="E1" s="7"/>
      <c r="F1" s="7"/>
    </row>
    <row r="2" spans="1:6" ht="29">
      <c r="A2" s="5" t="s">
        <v>10</v>
      </c>
      <c r="B2" s="3" t="s">
        <v>6</v>
      </c>
      <c r="C2" s="4" t="s">
        <v>7</v>
      </c>
      <c r="D2" s="3" t="s">
        <v>8</v>
      </c>
      <c r="E2" s="4" t="s">
        <v>9</v>
      </c>
      <c r="F2" s="6" t="s">
        <v>11</v>
      </c>
    </row>
    <row r="3" spans="1:6">
      <c r="A3" s="2" t="s">
        <v>0</v>
      </c>
      <c r="B3" s="9" t="s">
        <v>12</v>
      </c>
      <c r="C3" s="9" t="s">
        <v>12</v>
      </c>
      <c r="D3" s="9" t="s">
        <v>12</v>
      </c>
      <c r="E3" s="9" t="s">
        <v>12</v>
      </c>
      <c r="F3" s="9" t="s">
        <v>13</v>
      </c>
    </row>
    <row r="4" spans="1:6">
      <c r="A4" s="2" t="s">
        <v>1</v>
      </c>
      <c r="B4" s="9" t="s">
        <v>12</v>
      </c>
      <c r="C4" s="9" t="s">
        <v>12</v>
      </c>
      <c r="D4" s="9" t="s">
        <v>13</v>
      </c>
      <c r="E4" s="9" t="s">
        <v>18</v>
      </c>
      <c r="F4" s="9" t="s">
        <v>18</v>
      </c>
    </row>
    <row r="5" spans="1:6">
      <c r="A5" s="2" t="s">
        <v>2</v>
      </c>
      <c r="B5" s="9" t="s">
        <v>12</v>
      </c>
      <c r="C5" s="9" t="s">
        <v>12</v>
      </c>
      <c r="D5" s="9" t="s">
        <v>12</v>
      </c>
      <c r="E5" s="9" t="s">
        <v>18</v>
      </c>
      <c r="F5" s="9" t="s">
        <v>18</v>
      </c>
    </row>
    <row r="6" spans="1:6">
      <c r="A6" s="2" t="s">
        <v>3</v>
      </c>
      <c r="B6" s="9" t="s">
        <v>12</v>
      </c>
      <c r="C6" s="9" t="s">
        <v>12</v>
      </c>
      <c r="D6" s="9" t="s">
        <v>13</v>
      </c>
      <c r="E6" s="9" t="s">
        <v>12</v>
      </c>
      <c r="F6" s="9" t="s">
        <v>12</v>
      </c>
    </row>
    <row r="7" spans="1:6">
      <c r="A7" s="2" t="s">
        <v>4</v>
      </c>
      <c r="B7" s="9" t="s">
        <v>12</v>
      </c>
      <c r="C7" s="9" t="s">
        <v>12</v>
      </c>
      <c r="D7" s="9" t="s">
        <v>13</v>
      </c>
      <c r="E7" s="9" t="s">
        <v>12</v>
      </c>
      <c r="F7" s="9" t="s">
        <v>12</v>
      </c>
    </row>
    <row r="8" spans="1:6">
      <c r="A8" s="2" t="s">
        <v>5</v>
      </c>
      <c r="B8" s="9" t="s">
        <v>12</v>
      </c>
      <c r="C8" s="9" t="s">
        <v>12</v>
      </c>
      <c r="D8" s="9" t="s">
        <v>18</v>
      </c>
      <c r="E8" s="9" t="s">
        <v>18</v>
      </c>
      <c r="F8" s="9" t="s">
        <v>12</v>
      </c>
    </row>
    <row r="9" spans="1:6">
      <c r="A9" s="1"/>
      <c r="B9" s="1"/>
      <c r="C9" s="1"/>
      <c r="D9" s="1"/>
      <c r="E9" s="1"/>
      <c r="F9" s="1"/>
    </row>
    <row r="11" spans="1:6">
      <c r="A11" s="10" t="s">
        <v>22</v>
      </c>
      <c r="B11" s="10" t="s">
        <v>23</v>
      </c>
      <c r="C11" s="10" t="s">
        <v>24</v>
      </c>
      <c r="D11" s="10" t="s">
        <v>25</v>
      </c>
    </row>
    <row r="12" spans="1:6" ht="29">
      <c r="A12" s="11" t="s">
        <v>26</v>
      </c>
      <c r="B12" s="8">
        <f>COUNTIF(B3:B8,"A")</f>
        <v>6</v>
      </c>
      <c r="C12" s="8">
        <f>COUNTIF(B3:B8,"B")</f>
        <v>0</v>
      </c>
      <c r="D12" s="8">
        <f>COUNTIF(B3:B8,"C")</f>
        <v>0</v>
      </c>
    </row>
    <row r="13" spans="1:6" ht="43.5">
      <c r="A13" s="11" t="s">
        <v>27</v>
      </c>
      <c r="B13" s="8">
        <f>COUNTIF(C3:C8,"A")</f>
        <v>6</v>
      </c>
      <c r="C13" s="8">
        <f>COUNTIF(C3:C8,"B")</f>
        <v>0</v>
      </c>
      <c r="D13" s="8">
        <f>COUNTIF(C3:C8,"C")</f>
        <v>0</v>
      </c>
    </row>
    <row r="14" spans="1:6" ht="43.5">
      <c r="A14" s="11" t="s">
        <v>28</v>
      </c>
      <c r="B14" s="8">
        <f>COUNTIF(D3:D8,"A")</f>
        <v>2</v>
      </c>
      <c r="C14" s="8">
        <f>COUNTIF(D3:D8,"B")</f>
        <v>1</v>
      </c>
      <c r="D14" s="8">
        <f>COUNTIF(D3:D8,"C")</f>
        <v>3</v>
      </c>
    </row>
    <row r="15" spans="1:6" ht="43.5">
      <c r="A15" s="11" t="s">
        <v>29</v>
      </c>
      <c r="B15" s="8">
        <f>COUNTIF(E3:E8,"A")</f>
        <v>3</v>
      </c>
      <c r="C15" s="8">
        <f>COUNTIF(E3:E8,"B")</f>
        <v>3</v>
      </c>
      <c r="D15" s="8">
        <f>COUNTIF(E3:E8,"C")</f>
        <v>0</v>
      </c>
    </row>
    <row r="16" spans="1:6" ht="43.5">
      <c r="A16" s="11" t="s">
        <v>30</v>
      </c>
      <c r="B16" s="8">
        <f>COUNTIF(F3:F8,"A")</f>
        <v>3</v>
      </c>
      <c r="C16" s="8">
        <f>COUNTIF(F3:F8,"B")</f>
        <v>2</v>
      </c>
      <c r="D16" s="8">
        <f>COUNTIF(F3:F8,"C")</f>
        <v>1</v>
      </c>
    </row>
    <row r="21" spans="1:7">
      <c r="A21" s="7" t="s">
        <v>45</v>
      </c>
      <c r="B21" s="7"/>
      <c r="C21" s="7"/>
      <c r="D21" s="7"/>
      <c r="E21" s="7"/>
      <c r="F21" s="7"/>
      <c r="G21" s="7"/>
    </row>
    <row r="22" spans="1:7" ht="29">
      <c r="A22" s="5" t="s">
        <v>10</v>
      </c>
      <c r="B22" s="3" t="s">
        <v>6</v>
      </c>
      <c r="C22" s="4" t="s">
        <v>7</v>
      </c>
      <c r="D22" s="3" t="s">
        <v>8</v>
      </c>
      <c r="E22" s="4" t="s">
        <v>9</v>
      </c>
      <c r="F22" s="6" t="s">
        <v>11</v>
      </c>
    </row>
    <row r="23" spans="1:7">
      <c r="A23" s="2" t="s">
        <v>0</v>
      </c>
      <c r="B23" s="9">
        <f>IF(B3="A",3,IF(B3="B",2,1))</f>
        <v>3</v>
      </c>
      <c r="C23" s="9">
        <f t="shared" ref="C23:F23" si="0">IF(C3="A",3,IF(C3="B",2,1))</f>
        <v>3</v>
      </c>
      <c r="D23" s="9">
        <f t="shared" si="0"/>
        <v>3</v>
      </c>
      <c r="E23" s="9">
        <f t="shared" si="0"/>
        <v>3</v>
      </c>
      <c r="F23" s="9">
        <f t="shared" si="0"/>
        <v>1</v>
      </c>
    </row>
    <row r="24" spans="1:7">
      <c r="A24" s="2" t="s">
        <v>1</v>
      </c>
      <c r="B24" s="9">
        <f t="shared" ref="B24:F28" si="1">IF(B4="A",3,IF(B4="B",2,1))</f>
        <v>3</v>
      </c>
      <c r="C24" s="9">
        <f t="shared" si="1"/>
        <v>3</v>
      </c>
      <c r="D24" s="9">
        <f t="shared" si="1"/>
        <v>1</v>
      </c>
      <c r="E24" s="9">
        <f t="shared" si="1"/>
        <v>2</v>
      </c>
      <c r="F24" s="9">
        <f t="shared" si="1"/>
        <v>2</v>
      </c>
    </row>
    <row r="25" spans="1:7">
      <c r="A25" s="2" t="s">
        <v>2</v>
      </c>
      <c r="B25" s="9">
        <f t="shared" si="1"/>
        <v>3</v>
      </c>
      <c r="C25" s="9">
        <f t="shared" si="1"/>
        <v>3</v>
      </c>
      <c r="D25" s="9">
        <f t="shared" si="1"/>
        <v>3</v>
      </c>
      <c r="E25" s="9">
        <f t="shared" si="1"/>
        <v>2</v>
      </c>
      <c r="F25" s="9">
        <f t="shared" si="1"/>
        <v>2</v>
      </c>
    </row>
    <row r="26" spans="1:7">
      <c r="A26" s="2" t="s">
        <v>3</v>
      </c>
      <c r="B26" s="9">
        <f t="shared" si="1"/>
        <v>3</v>
      </c>
      <c r="C26" s="9">
        <f t="shared" si="1"/>
        <v>3</v>
      </c>
      <c r="D26" s="9">
        <f t="shared" si="1"/>
        <v>1</v>
      </c>
      <c r="E26" s="9">
        <f t="shared" si="1"/>
        <v>3</v>
      </c>
      <c r="F26" s="9">
        <f t="shared" si="1"/>
        <v>3</v>
      </c>
    </row>
    <row r="27" spans="1:7">
      <c r="A27" s="2" t="s">
        <v>4</v>
      </c>
      <c r="B27" s="9">
        <f t="shared" si="1"/>
        <v>3</v>
      </c>
      <c r="C27" s="9">
        <f t="shared" si="1"/>
        <v>3</v>
      </c>
      <c r="D27" s="9">
        <f t="shared" si="1"/>
        <v>1</v>
      </c>
      <c r="E27" s="9">
        <f t="shared" si="1"/>
        <v>3</v>
      </c>
      <c r="F27" s="9">
        <f t="shared" si="1"/>
        <v>3</v>
      </c>
    </row>
    <row r="28" spans="1:7">
      <c r="A28" s="2" t="s">
        <v>5</v>
      </c>
      <c r="B28" s="9">
        <f t="shared" si="1"/>
        <v>3</v>
      </c>
      <c r="C28" s="9">
        <f t="shared" si="1"/>
        <v>3</v>
      </c>
      <c r="D28" s="9">
        <f t="shared" si="1"/>
        <v>2</v>
      </c>
      <c r="E28" s="9">
        <f t="shared" si="1"/>
        <v>2</v>
      </c>
      <c r="F28" s="9">
        <f t="shared" si="1"/>
        <v>3</v>
      </c>
    </row>
    <row r="29" spans="1:7">
      <c r="A29" s="1" t="s">
        <v>38</v>
      </c>
      <c r="B29" s="12">
        <f>AVERAGE(B23:B28)</f>
        <v>3</v>
      </c>
      <c r="C29" s="12">
        <f t="shared" ref="C29:F29" si="2">AVERAGE(C23:C28)</f>
        <v>3</v>
      </c>
      <c r="D29" s="12">
        <f t="shared" si="2"/>
        <v>1.8333333333333333</v>
      </c>
      <c r="E29" s="12">
        <f t="shared" si="2"/>
        <v>2.5</v>
      </c>
      <c r="F29" s="12">
        <f t="shared" si="2"/>
        <v>2.3333333333333335</v>
      </c>
    </row>
    <row r="31" spans="1:7">
      <c r="A31" s="13" t="s">
        <v>22</v>
      </c>
      <c r="B31" s="13" t="s">
        <v>39</v>
      </c>
    </row>
    <row r="32" spans="1:7">
      <c r="A32" s="14" t="s">
        <v>51</v>
      </c>
      <c r="B32" s="15">
        <f>AVERAGE(B23:B28)</f>
        <v>3</v>
      </c>
    </row>
    <row r="33" spans="1:2">
      <c r="A33" s="14" t="s">
        <v>50</v>
      </c>
      <c r="B33" s="15">
        <f>AVERAGE(C23:C28)</f>
        <v>3</v>
      </c>
    </row>
    <row r="34" spans="1:2" ht="26">
      <c r="A34" s="14" t="s">
        <v>49</v>
      </c>
      <c r="B34" s="15">
        <f>AVERAGE(D23:D28)</f>
        <v>1.8333333333333333</v>
      </c>
    </row>
    <row r="35" spans="1:2" ht="26">
      <c r="A35" s="14" t="s">
        <v>48</v>
      </c>
      <c r="B35" s="15">
        <f>AVERAGE(E23:E28)</f>
        <v>2.5</v>
      </c>
    </row>
    <row r="36" spans="1:2">
      <c r="A36" s="14" t="s">
        <v>47</v>
      </c>
      <c r="B36" s="15">
        <f>AVERAGE(F23:F28)</f>
        <v>2.3333333333333335</v>
      </c>
    </row>
  </sheetData>
  <mergeCells count="2">
    <mergeCell ref="A1:F1"/>
    <mergeCell ref="A21:G21"/>
  </mergeCells>
  <dataValidations count="2">
    <dataValidation type="list" allowBlank="1" sqref="A3:A9" xr:uid="{2A9DCAF9-22A7-4777-86A4-1D4767C9015F}">
      <formula1>#REF!</formula1>
    </dataValidation>
    <dataValidation type="list" allowBlank="1" sqref="A23:A29" xr:uid="{BC1C7598-5B21-4878-8C40-8DE35DDA340A}">
      <formula1>#REF!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FD11C-CD45-41D8-9670-69E8C6DB2DB7}">
  <dimension ref="A1:H36"/>
  <sheetViews>
    <sheetView topLeftCell="A17" workbookViewId="0">
      <selection activeCell="A17" sqref="A17"/>
    </sheetView>
  </sheetViews>
  <sheetFormatPr baseColWidth="10" defaultColWidth="8.7265625" defaultRowHeight="14.5"/>
  <cols>
    <col min="1" max="1" width="12.453125" customWidth="1"/>
    <col min="2" max="2" width="31.6328125" customWidth="1"/>
    <col min="3" max="3" width="26.08984375" customWidth="1"/>
    <col min="4" max="4" width="29.453125" customWidth="1"/>
    <col min="5" max="5" width="17.54296875" customWidth="1"/>
    <col min="6" max="6" width="27" customWidth="1"/>
    <col min="7" max="7" width="18.26953125" customWidth="1"/>
  </cols>
  <sheetData>
    <row r="1" spans="1:8">
      <c r="A1" s="7" t="s">
        <v>37</v>
      </c>
      <c r="B1" s="7"/>
      <c r="C1" s="7"/>
      <c r="D1" s="7"/>
      <c r="E1" s="7"/>
      <c r="F1" s="7"/>
      <c r="G1" s="7"/>
    </row>
    <row r="2" spans="1:8" ht="29">
      <c r="A2" s="5" t="s">
        <v>10</v>
      </c>
      <c r="B2" s="3" t="s">
        <v>14</v>
      </c>
      <c r="C2" s="4" t="s">
        <v>15</v>
      </c>
      <c r="D2" s="4" t="s">
        <v>16</v>
      </c>
      <c r="E2" s="4" t="s">
        <v>17</v>
      </c>
      <c r="F2" s="4" t="s">
        <v>19</v>
      </c>
      <c r="H2" t="s">
        <v>20</v>
      </c>
    </row>
    <row r="3" spans="1:8">
      <c r="A3" s="2" t="s">
        <v>0</v>
      </c>
      <c r="B3" s="9" t="s">
        <v>18</v>
      </c>
      <c r="C3" s="9" t="s">
        <v>12</v>
      </c>
      <c r="D3" s="9" t="s">
        <v>12</v>
      </c>
      <c r="E3" s="9" t="s">
        <v>12</v>
      </c>
      <c r="F3" s="9" t="s">
        <v>18</v>
      </c>
      <c r="H3" t="s">
        <v>21</v>
      </c>
    </row>
    <row r="4" spans="1:8">
      <c r="A4" s="2" t="s">
        <v>1</v>
      </c>
      <c r="B4" s="9" t="s">
        <v>13</v>
      </c>
      <c r="C4" s="9" t="s">
        <v>13</v>
      </c>
      <c r="D4" s="9" t="s">
        <v>12</v>
      </c>
      <c r="E4" s="9" t="s">
        <v>18</v>
      </c>
      <c r="F4" s="9" t="s">
        <v>18</v>
      </c>
    </row>
    <row r="5" spans="1:8">
      <c r="A5" s="2" t="s">
        <v>2</v>
      </c>
      <c r="B5" s="9" t="s">
        <v>18</v>
      </c>
      <c r="C5" s="9" t="s">
        <v>18</v>
      </c>
      <c r="D5" s="9" t="s">
        <v>12</v>
      </c>
      <c r="E5" s="9" t="s">
        <v>18</v>
      </c>
      <c r="F5" s="9" t="s">
        <v>18</v>
      </c>
    </row>
    <row r="6" spans="1:8">
      <c r="A6" s="2" t="s">
        <v>3</v>
      </c>
      <c r="B6" s="9" t="s">
        <v>12</v>
      </c>
      <c r="C6" s="9" t="s">
        <v>13</v>
      </c>
      <c r="D6" s="9" t="s">
        <v>12</v>
      </c>
      <c r="E6" s="9" t="s">
        <v>12</v>
      </c>
      <c r="F6" s="9" t="s">
        <v>13</v>
      </c>
    </row>
    <row r="7" spans="1:8">
      <c r="A7" s="2" t="s">
        <v>4</v>
      </c>
      <c r="B7" s="9" t="s">
        <v>12</v>
      </c>
      <c r="C7" s="9" t="s">
        <v>18</v>
      </c>
      <c r="D7" s="9" t="s">
        <v>12</v>
      </c>
      <c r="E7" s="9" t="s">
        <v>12</v>
      </c>
      <c r="F7" s="9" t="s">
        <v>12</v>
      </c>
    </row>
    <row r="8" spans="1:8">
      <c r="A8" s="2" t="s">
        <v>5</v>
      </c>
      <c r="B8" s="9" t="s">
        <v>18</v>
      </c>
      <c r="C8" s="9" t="s">
        <v>12</v>
      </c>
      <c r="D8" s="9" t="s">
        <v>12</v>
      </c>
      <c r="E8" s="9" t="s">
        <v>12</v>
      </c>
      <c r="F8" s="9" t="s">
        <v>13</v>
      </c>
    </row>
    <row r="9" spans="1:8">
      <c r="A9" s="1"/>
      <c r="B9" s="1"/>
      <c r="C9" s="1"/>
      <c r="D9" s="1"/>
      <c r="E9" s="1"/>
      <c r="F9" s="1"/>
    </row>
    <row r="11" spans="1:8">
      <c r="A11" s="10" t="s">
        <v>22</v>
      </c>
      <c r="B11" s="10" t="s">
        <v>23</v>
      </c>
      <c r="C11" s="10" t="s">
        <v>24</v>
      </c>
      <c r="D11" s="10" t="s">
        <v>25</v>
      </c>
    </row>
    <row r="12" spans="1:8" ht="43.5">
      <c r="A12" s="11" t="s">
        <v>31</v>
      </c>
      <c r="B12" s="8">
        <f>COUNTIF(B3:B8,"A")</f>
        <v>2</v>
      </c>
      <c r="C12" s="8">
        <f>COUNTIF(B3:B8,"B")</f>
        <v>3</v>
      </c>
      <c r="D12" s="8">
        <f>COUNTIF(B3:B8,"C")</f>
        <v>1</v>
      </c>
    </row>
    <row r="13" spans="1:8" ht="29">
      <c r="A13" s="11" t="s">
        <v>32</v>
      </c>
      <c r="B13" s="8">
        <f>COUNTIF(C3:C8,"A")</f>
        <v>2</v>
      </c>
      <c r="C13" s="8">
        <f>COUNTIF(C3:C8,"B")</f>
        <v>2</v>
      </c>
      <c r="D13" s="8">
        <f>COUNTIF(C3:C8,"C")</f>
        <v>2</v>
      </c>
    </row>
    <row r="14" spans="1:8" ht="43.5">
      <c r="A14" s="11" t="s">
        <v>33</v>
      </c>
      <c r="B14" s="8">
        <f>COUNTIF(D3:D8,"A")</f>
        <v>6</v>
      </c>
      <c r="C14" s="8">
        <f>COUNTIF(D3:D8,"B")</f>
        <v>0</v>
      </c>
      <c r="D14" s="8">
        <f>COUNTIF(D3:D8,"C")</f>
        <v>0</v>
      </c>
    </row>
    <row r="15" spans="1:8" ht="29">
      <c r="A15" s="11" t="s">
        <v>34</v>
      </c>
      <c r="B15" s="8">
        <f>COUNTIF(E3:E8,"A")</f>
        <v>4</v>
      </c>
      <c r="C15" s="8">
        <f>COUNTIF(E3:E8,"B")</f>
        <v>2</v>
      </c>
      <c r="D15" s="8">
        <f>COUNTIF(E3:E8,"C")</f>
        <v>0</v>
      </c>
    </row>
    <row r="16" spans="1:8" ht="29">
      <c r="A16" s="11" t="s">
        <v>35</v>
      </c>
      <c r="B16" s="8">
        <f>COUNTIF(F3:F8,"A")</f>
        <v>1</v>
      </c>
      <c r="C16" s="8">
        <f>COUNTIF(F3:F8,"B")</f>
        <v>3</v>
      </c>
      <c r="D16" s="8">
        <f>COUNTIF(F3:F8,"C")</f>
        <v>2</v>
      </c>
    </row>
    <row r="21" spans="1:7">
      <c r="A21" s="7" t="s">
        <v>36</v>
      </c>
      <c r="B21" s="7"/>
      <c r="C21" s="7"/>
      <c r="D21" s="7"/>
      <c r="E21" s="7"/>
      <c r="F21" s="7"/>
      <c r="G21" s="7"/>
    </row>
    <row r="22" spans="1:7" ht="29">
      <c r="A22" s="5" t="s">
        <v>10</v>
      </c>
      <c r="B22" s="3" t="s">
        <v>14</v>
      </c>
      <c r="C22" s="4" t="s">
        <v>15</v>
      </c>
      <c r="D22" s="4" t="s">
        <v>16</v>
      </c>
      <c r="E22" s="4" t="s">
        <v>17</v>
      </c>
      <c r="F22" s="4" t="s">
        <v>19</v>
      </c>
    </row>
    <row r="23" spans="1:7">
      <c r="A23" s="2" t="s">
        <v>0</v>
      </c>
      <c r="B23" s="9">
        <f>IF(B3="A",3,IF(B3="B",2,1))</f>
        <v>2</v>
      </c>
      <c r="C23" s="9">
        <f t="shared" ref="C23:F23" si="0">IF(C3="A",3,IF(C3="B",2,1))</f>
        <v>3</v>
      </c>
      <c r="D23" s="9">
        <f t="shared" si="0"/>
        <v>3</v>
      </c>
      <c r="E23" s="9">
        <f t="shared" si="0"/>
        <v>3</v>
      </c>
      <c r="F23" s="9">
        <f t="shared" si="0"/>
        <v>2</v>
      </c>
    </row>
    <row r="24" spans="1:7">
      <c r="A24" s="2" t="s">
        <v>1</v>
      </c>
      <c r="B24" s="9">
        <f t="shared" ref="B24:F28" si="1">IF(B4="A",3,IF(B4="B",2,1))</f>
        <v>1</v>
      </c>
      <c r="C24" s="9">
        <f t="shared" si="1"/>
        <v>1</v>
      </c>
      <c r="D24" s="9">
        <f t="shared" si="1"/>
        <v>3</v>
      </c>
      <c r="E24" s="9">
        <f t="shared" si="1"/>
        <v>2</v>
      </c>
      <c r="F24" s="9">
        <f t="shared" si="1"/>
        <v>2</v>
      </c>
    </row>
    <row r="25" spans="1:7">
      <c r="A25" s="2" t="s">
        <v>2</v>
      </c>
      <c r="B25" s="9">
        <f t="shared" si="1"/>
        <v>2</v>
      </c>
      <c r="C25" s="9">
        <f t="shared" si="1"/>
        <v>2</v>
      </c>
      <c r="D25" s="9">
        <f t="shared" si="1"/>
        <v>3</v>
      </c>
      <c r="E25" s="9">
        <f t="shared" si="1"/>
        <v>2</v>
      </c>
      <c r="F25" s="9">
        <f t="shared" si="1"/>
        <v>2</v>
      </c>
    </row>
    <row r="26" spans="1:7">
      <c r="A26" s="2" t="s">
        <v>3</v>
      </c>
      <c r="B26" s="9">
        <f t="shared" si="1"/>
        <v>3</v>
      </c>
      <c r="C26" s="9">
        <f t="shared" si="1"/>
        <v>1</v>
      </c>
      <c r="D26" s="9">
        <f t="shared" si="1"/>
        <v>3</v>
      </c>
      <c r="E26" s="9">
        <f t="shared" si="1"/>
        <v>3</v>
      </c>
      <c r="F26" s="9">
        <f t="shared" si="1"/>
        <v>1</v>
      </c>
    </row>
    <row r="27" spans="1:7">
      <c r="A27" s="2" t="s">
        <v>4</v>
      </c>
      <c r="B27" s="9">
        <f t="shared" si="1"/>
        <v>3</v>
      </c>
      <c r="C27" s="9">
        <f t="shared" si="1"/>
        <v>2</v>
      </c>
      <c r="D27" s="9">
        <f t="shared" si="1"/>
        <v>3</v>
      </c>
      <c r="E27" s="9">
        <f t="shared" si="1"/>
        <v>3</v>
      </c>
      <c r="F27" s="9">
        <f t="shared" si="1"/>
        <v>3</v>
      </c>
    </row>
    <row r="28" spans="1:7">
      <c r="A28" s="2" t="s">
        <v>5</v>
      </c>
      <c r="B28" s="9">
        <f t="shared" si="1"/>
        <v>2</v>
      </c>
      <c r="C28" s="9">
        <f t="shared" si="1"/>
        <v>3</v>
      </c>
      <c r="D28" s="9">
        <f t="shared" si="1"/>
        <v>3</v>
      </c>
      <c r="E28" s="9">
        <f t="shared" si="1"/>
        <v>3</v>
      </c>
      <c r="F28" s="9">
        <f t="shared" si="1"/>
        <v>1</v>
      </c>
    </row>
    <row r="29" spans="1:7">
      <c r="A29" s="1" t="s">
        <v>38</v>
      </c>
      <c r="B29" s="12">
        <f>AVERAGE(B23:B28)</f>
        <v>2.1666666666666665</v>
      </c>
      <c r="C29" s="12">
        <f t="shared" ref="C29:F29" si="2">AVERAGE(C23:C28)</f>
        <v>2</v>
      </c>
      <c r="D29" s="12">
        <f t="shared" si="2"/>
        <v>3</v>
      </c>
      <c r="E29" s="12">
        <f t="shared" si="2"/>
        <v>2.6666666666666665</v>
      </c>
      <c r="F29" s="12">
        <f t="shared" si="2"/>
        <v>1.8333333333333333</v>
      </c>
    </row>
    <row r="31" spans="1:7">
      <c r="A31" s="13" t="s">
        <v>22</v>
      </c>
      <c r="B31" s="13" t="s">
        <v>39</v>
      </c>
    </row>
    <row r="32" spans="1:7">
      <c r="A32" s="14" t="s">
        <v>43</v>
      </c>
      <c r="B32" s="15">
        <f>AVERAGE(B23:B28)</f>
        <v>2.1666666666666665</v>
      </c>
    </row>
    <row r="33" spans="1:2" ht="26">
      <c r="A33" s="14" t="s">
        <v>40</v>
      </c>
      <c r="B33" s="15">
        <f>AVERAGE(C23:C28)</f>
        <v>2</v>
      </c>
    </row>
    <row r="34" spans="1:2" ht="26">
      <c r="A34" s="14" t="s">
        <v>41</v>
      </c>
      <c r="B34" s="15">
        <f>AVERAGE(D23:D28)</f>
        <v>3</v>
      </c>
    </row>
    <row r="35" spans="1:2">
      <c r="A35" s="14" t="s">
        <v>42</v>
      </c>
      <c r="B35" s="15">
        <f>AVERAGE(E23:E28)</f>
        <v>2.6666666666666665</v>
      </c>
    </row>
    <row r="36" spans="1:2" ht="26">
      <c r="A36" s="14" t="s">
        <v>44</v>
      </c>
      <c r="B36" s="15">
        <f>AVERAGE(F23:F28)</f>
        <v>1.8333333333333333</v>
      </c>
    </row>
  </sheetData>
  <mergeCells count="2">
    <mergeCell ref="A1:G1"/>
    <mergeCell ref="A21:G21"/>
  </mergeCells>
  <dataValidations count="1">
    <dataValidation type="list" allowBlank="1" sqref="A3:A9 A23:A29" xr:uid="{DCB38CB3-F56A-4A95-B826-0544D5D6AB0C}">
      <formula1>#REF!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E204D-0B67-410C-8EE1-3A5778E8BBBD}">
  <dimension ref="A1"/>
  <sheetViews>
    <sheetView tabSelected="1" topLeftCell="A15" workbookViewId="0">
      <selection activeCell="F34" sqref="F34"/>
    </sheetView>
  </sheetViews>
  <sheetFormatPr baseColWidth="10" defaultRowHeight="14.5"/>
  <cols>
    <col min="14" max="14" width="20.1796875" customWidth="1"/>
    <col min="15" max="15" width="14.54296875" customWidth="1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Funcionalidad</vt:lpstr>
      <vt:lpstr>Legibilidad y Mantenibilidad</vt:lpstr>
      <vt:lpstr>Analisis rubrica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Esteban .</dc:creator>
  <cp:lastModifiedBy>ESTEBAN CARNUCCIO</cp:lastModifiedBy>
  <dcterms:created xsi:type="dcterms:W3CDTF">2015-06-05T18:19:34Z</dcterms:created>
  <dcterms:modified xsi:type="dcterms:W3CDTF">2026-05-23T18:58:23Z</dcterms:modified>
</cp:coreProperties>
</file>